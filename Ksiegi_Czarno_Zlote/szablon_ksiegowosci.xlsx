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9cf8b7cf4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8be4784c5a94cc4"/>
    <x:sheet xmlns:r="http://schemas.openxmlformats.org/officeDocument/2006/relationships" name="Faktury sprzedaży" sheetId="2" r:id="R567cefda788d4976"/>
    <x:sheet xmlns:r="http://schemas.openxmlformats.org/officeDocument/2006/relationships" name="Faktury zakupu" sheetId="3" r:id="Ra7a60c0000d14bcb"/>
    <x:sheet xmlns:r="http://schemas.openxmlformats.org/officeDocument/2006/relationships" name="Bank" sheetId="4" r:id="R5f77f72e01544f00"/>
    <x:sheet xmlns:r="http://schemas.openxmlformats.org/officeDocument/2006/relationships" name="Wydatki" sheetId="5" r:id="Rc47dde201fca4df4"/>
    <x:sheet xmlns:r="http://schemas.openxmlformats.org/officeDocument/2006/relationships" name="Raport VAT" sheetId="6" r:id="Re43b90f4c5a24005"/>
    <x:sheet xmlns:r="http://schemas.openxmlformats.org/officeDocument/2006/relationships" name="Instrukcje" sheetId="7" r:id="R4aa208dfbf7f4afa"/>
    <x:sheet xmlns:r="http://schemas.openxmlformats.org/officeDocument/2006/relationships" name="Ustawienia" sheetId="8" r:id="R46138334324f437c"/>
    <x:sheet xmlns:r="http://schemas.openxmlformats.org/officeDocument/2006/relationships" name="Plan kont" sheetId="9" r:id="R0adada7fe6ac416f"/>
    <x:sheet xmlns:r="http://schemas.openxmlformats.org/officeDocument/2006/relationships" name="Dziennik" sheetId="10" r:id="R9c80867eb20e43ee"/>
    <x:sheet xmlns:r="http://schemas.openxmlformats.org/officeDocument/2006/relationships" name="Obroty i salda" sheetId="11" r:id="R18d37fc031954694"/>
    <x:sheet xmlns:r="http://schemas.openxmlformats.org/officeDocument/2006/relationships" name="Rachunek wyników" sheetId="12" r:id="R9696fe2de0ef4907"/>
    <x:sheet xmlns:r="http://schemas.openxmlformats.org/officeDocument/2006/relationships" name="Bilans" sheetId="13" r:id="R8d397cac99e24e5a"/>
  </x:sheets>
</x:workbook>
</file>

<file path=xl/sharedStrings.xml><?xml version="1.0" encoding="utf-8"?>
<x:sst xmlns:x="http://schemas.openxmlformats.org/spreadsheetml/2006/main">
  <x:si>
    <x:t xml:space="preserve">Lp.</x:t>
  </x:si>
  <x:si>
    <x:t xml:space="preserve">Data</x:t>
  </x:si>
  <x:si>
    <x:t xml:space="preserve">Numer FV</x:t>
  </x:si>
  <x:si>
    <x:t xml:space="preserve">Klient</x:t>
  </x:si>
  <x:si>
    <x:t xml:space="preserve">Kwota netto</x:t>
  </x:si>
  <x:si>
    <x:t xml:space="preserve">VAT %</x:t>
  </x:si>
  <x:si>
    <x:t xml:space="preserve">Razem brutto</x:t>
  </x:si>
  <x:si>
    <x:t xml:space="preserve">RAZEM</x:t>
  </x:si>
  <x:si>
    <x:t xml:space="preserve">Dostawca</x:t>
  </x:si>
  <x:si>
    <x:t xml:space="preserve">Opis</x:t>
  </x:si>
  <x:si>
    <x:t xml:space="preserve">Przychód</x:t>
  </x:si>
  <x:si>
    <x:t xml:space="preserve">Wydatek</x:t>
  </x:si>
  <x:si>
    <x:t xml:space="preserve">Saldo</x:t>
  </x:si>
  <x:si>
    <x:t xml:space="preserve">0</x:t>
  </x:si>
  <x:si>
    <x:t xml:space="preserve">Saldo początkowe</x:t>
  </x:si>
  <x:si>
    <x:t xml:space="preserve">Kategoria</x:t>
  </x:si>
  <x:si>
    <x:t xml:space="preserve">Kwota</x:t>
  </x:si>
  <x:si>
    <x:t xml:space="preserve">Materiały</x:t>
  </x:si>
  <x:si>
    <x:t xml:space="preserve">Wynagrodzenia</x:t>
  </x:si>
  <x:si>
    <x:t xml:space="preserve">Czynsz</x:t>
  </x:si>
  <x:si>
    <x:t xml:space="preserve">Media</x:t>
  </x:si>
  <x:si>
    <x:t xml:space="preserve">Transport</x:t>
  </x:si>
  <x:si>
    <x:t xml:space="preserve">Konserwacja</x:t>
  </x:si>
  <x:si>
    <x:t xml:space="preserve">RAPORT VAT</x:t>
  </x:si>
  <x:si>
    <x:t xml:space="preserve">Przychody netto (23% VAT)</x:t>
  </x:si>
  <x:si>
    <x:t xml:space="preserve">VAT do zapłaty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</x:si>
</x:sst>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\$#,##0.00;&quot;($&quot;#,##0.00\);\-"/>
    <x:numFmt numFmtId="166" formatCode="\$#,##0.00"/>
    <x:numFmt numFmtId="167" formatCode="0.0%"/>
    <x:numFmt numFmtId="200" formatCode="dd.mm.yyyy"/>
    <x:numFmt numFmtId="201" formatCode="#,##0.00;[Red](#,##0.00);-"/>
  </x:numFmts>
  <x:fonts count="24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name val="Cambria"/>
    </x:font>
    <x:font>
      <x:b/>
      <x:sz val="11"/>
      <x:name val="Cambria"/>
    </x:font>
    <x:font>
      <x:b/>
      <x:sz val="11"/>
      <x:color rgb="FFFFFFFF"/>
      <x:name val="Cambria"/>
    </x:font>
    <x:font>
      <x:sz val="11"/>
      <x:color rgb="FF0000FF"/>
      <x:name val="Cambria"/>
    </x:font>
    <x:font>
      <x:b/>
      <x:sz val="12"/>
      <x:name val="Cambria"/>
    </x:font>
    <x:font>
      <x:i/>
      <x:sz val="11"/>
      <x:name val="Cambria"/>
    </x:font>
    <x:font>
      <x:b/>
      <x:sz val="10"/>
      <x:name val="Cambria"/>
    </x:font>
    <x:font>
      <x:sz val="10"/>
      <x:color rgb="FF222222"/>
      <x:name val="Arial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b/>
      <x:sz val="10"/>
      <x:color rgb="FF171717"/>
      <x:name val="Arial"/>
    </x:font>
    <x:font>
      <x:b/>
      <x:sz val="10"/>
      <x:color rgb="FF222222"/>
      <x:name val="Arial"/>
    </x:font>
    <x:font>
      <x:b/>
      <x:sz val="11"/>
      <x:color rgb="FF171717"/>
      <x:name val="Calibri"/>
    </x:font>
    <x:font>
      <x:i/>
      <x:sz val="10"/>
      <x:color rgb="FF555555"/>
      <x:name val="Arial"/>
    </x:font>
    <x:font>
      <x:b/>
      <x:sz val="16"/>
      <x:color rgb="FFC9A227"/>
      <x:name val="Arial"/>
    </x:font>
    <x:font>
      <x:b/>
      <x:sz val="11"/>
      <x:color rgb="FF171717"/>
      <x:name val="Arial"/>
    </x:font>
    <x:font>
      <x:i/>
      <x:sz val="11"/>
      <x:color rgb="FF7F6000"/>
      <x:name val="Calibri"/>
    </x:font>
    <x:font>
      <x:b/>
      <x:sz val="14"/>
      <x:color rgb="FF171717"/>
      <x:name val="Arial"/>
    </x:font>
    <x:font>
      <x:b/>
      <x:sz val="15"/>
      <x:color rgb="FFC9A227"/>
      <x:name val="Arial"/>
    </x:font>
    <x:font>
      <x:b/>
      <x:sz val="11"/>
      <x:color rgb="FFC9A227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99"/>
      </x:patternFill>
    </x:fill>
    <x:fill>
      <x:patternFill patternType="solid">
        <x:fgColor rgb="FFD9E1F2"/>
      </x:patternFill>
    </x:fill>
    <x:fill>
      <x:patternFill patternType="solid">
        <x:fgColor rgb="FF171717"/>
      </x:patternFill>
    </x:fill>
    <x:fill>
      <x:patternFill patternType="solid">
        <x:fgColor rgb="FF25211A"/>
      </x:patternFill>
    </x:fill>
    <x:fill>
      <x:patternFill patternType="solid">
        <x:fgColor rgb="FFFFF2CC"/>
      </x:patternFill>
    </x:fill>
    <x:fill>
      <x:patternFill patternType="solid">
        <x:fgColor rgb="FFC9A227"/>
      </x:patternFill>
    </x:fill>
    <x:fill>
      <x:patternFill patternType="solid">
        <x:fgColor rgb="FFF4EAD0"/>
      </x:patternFill>
    </x:fill>
  </x:fills>
  <x:borders count="11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bottom style="double">
        <x:color rgb="FFC9A227"/>
      </x:bottom>
    </x:border>
    <x:border diagonalUp="0" diagonalDown="0">
      <x:left style="thin">
        <x:color rgb="FFC9A227"/>
      </x:left>
      <x:top style="thin">
        <x:color rgb="FFC9A227"/>
      </x:top>
    </x:border>
    <x:border diagonalUp="0" diagonalDown="0">
      <x:top style="thin">
        <x:color rgb="FFC9A227"/>
      </x:top>
    </x:border>
    <x:border diagonalUp="0" diagonalDown="0">
      <x:right style="thin">
        <x:color rgb="FFC9A227"/>
      </x:right>
      <x:top style="thin">
        <x:color rgb="FFC9A227"/>
      </x:top>
    </x:border>
    <x:border diagonalUp="0" diagonalDown="0">
      <x:left style="thin">
        <x:color rgb="FFC9A227"/>
      </x:left>
      <x:bottom style="thin">
        <x:color rgb="FFC9A227"/>
      </x:bottom>
    </x:border>
    <x:border diagonalUp="0" diagonalDown="0">
      <x:bottom style="thin">
        <x:color rgb="FFC9A227"/>
      </x:bottom>
    </x:border>
    <x:border diagonalUp="0" diagonalDown="0">
      <x:right style="thin">
        <x:color rgb="FFC9A227"/>
      </x:right>
      <x:bottom style="thin">
        <x:color rgb="FFC9A227"/>
      </x:bottom>
    </x:border>
    <x:border diagonalUp="0" diagonalDown="0">
      <x:left style="thin">
        <x:color rgb="FFC9A227"/>
      </x:left>
    </x:border>
    <x:border diagonalUp="0" diagonalDown="0">
      <x:right style="thin">
        <x:color rgb="FFC9A227"/>
      </x:right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86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0" borderId="0" xfId="0" applyFont="1" applyBorder="0" applyAlignment="1">
      <x:alignment horizontal="general" vertical="bottom" wrapText="0"/>
    </x:xf>
    <x:xf numFmtId="164" fontId="5" fillId="0" borderId="0" xfId="0" applyFont="1" applyBorder="0" applyAlignment="1">
      <x:alignment horizontal="general" vertical="bottom" wrapText="0"/>
    </x:xf>
    <x:xf numFmtId="165" fontId="0" fillId="0" borderId="0" xfId="0" applyFont="0" applyBorder="0" applyAlignment="1">
      <x:alignment horizontal="general" vertical="bottom" wrapText="0"/>
    </x:xf>
    <x:xf numFmtId="164" fontId="6" fillId="2" borderId="1" xfId="0" applyFont="1" applyBorder="1" applyAlignment="1">
      <x:alignment horizontal="center" vertical="bottom" wrapText="0"/>
    </x:xf>
    <x:xf numFmtId="164" fontId="0" fillId="0" borderId="1" xfId="0" applyFont="0" applyBorder="1" applyAlignment="1">
      <x:alignment horizontal="general" vertical="bottom" wrapText="0"/>
    </x:xf>
    <x:xf numFmtId="164" fontId="7" fillId="3" borderId="1" xfId="0" applyFont="1" applyBorder="1" applyAlignment="1">
      <x:alignment horizontal="general" vertical="bottom" wrapText="0"/>
    </x:xf>
    <x:xf numFmtId="166" fontId="7" fillId="3" borderId="1" xfId="0" applyFont="1" applyBorder="1" applyAlignment="1">
      <x:alignment horizontal="general" vertical="bottom" wrapText="0"/>
    </x:xf>
    <x:xf numFmtId="167" fontId="7" fillId="3" borderId="1" xfId="0" applyFont="1" applyBorder="1" applyAlignment="1">
      <x:alignment horizontal="general" vertical="bottom" wrapText="0"/>
    </x:xf>
    <x:xf numFmtId="166" fontId="0" fillId="0" borderId="1" xfId="0" applyFont="0" applyBorder="1" applyAlignment="1">
      <x:alignment horizontal="general" vertical="bottom" wrapText="0"/>
    </x:xf>
    <x:xf numFmtId="164" fontId="5" fillId="4" borderId="0" xfId="0" applyFont="1" applyBorder="0" applyAlignment="1">
      <x:alignment horizontal="general" vertical="bottom" wrapText="0"/>
    </x:xf>
    <x:xf numFmtId="166" fontId="5" fillId="4" borderId="1" xfId="0" applyFont="1" applyBorder="1" applyAlignment="1">
      <x:alignment horizontal="general" vertical="bottom" wrapText="0"/>
    </x:xf>
    <x:xf numFmtId="166" fontId="0" fillId="0" borderId="0" xfId="0" applyFont="0" applyBorder="0" applyAlignment="1">
      <x:alignment horizontal="general" vertical="bottom" wrapText="0"/>
    </x:xf>
    <x:xf numFmtId="166" fontId="5" fillId="0" borderId="0" xfId="0" applyFont="1" applyBorder="0" applyAlignment="1">
      <x:alignment horizontal="general" vertical="bottom" wrapText="0"/>
    </x:xf>
    <x:xf numFmtId="164" fontId="7" fillId="3" borderId="0" xfId="0" applyFont="1" applyBorder="0" applyAlignment="1">
      <x:alignment horizontal="general" vertical="bottom" wrapText="0"/>
    </x:xf>
    <x:xf numFmtId="166" fontId="7" fillId="3" borderId="0" xfId="0" applyFont="1" applyBorder="0" applyAlignment="1">
      <x:alignment horizontal="general" vertical="bottom" wrapText="0"/>
    </x:xf>
    <x:xf numFmtId="166" fontId="5" fillId="4" borderId="0" xfId="0" applyFont="1" applyBorder="0" applyAlignment="1">
      <x:alignment horizontal="general" vertical="bottom" wrapText="0"/>
    </x:xf>
    <x:xf numFmtId="164" fontId="8" fillId="0" borderId="0" xfId="0" applyFont="1" applyBorder="0" applyAlignment="1">
      <x:alignment horizontal="general" vertical="top" wrapText="1"/>
    </x:xf>
    <x:xf numFmtId="164" fontId="0" fillId="0" borderId="0" xfId="0" applyFont="0" applyBorder="0" applyAlignment="1">
      <x:alignment horizontal="general" vertical="top" wrapText="1"/>
    </x:xf>
    <x:xf numFmtId="164" fontId="5" fillId="0" borderId="0" xfId="0" applyFont="1" applyBorder="0" applyAlignment="1">
      <x:alignment horizontal="general" vertical="top" wrapText="1"/>
    </x:xf>
    <x:xf numFmtId="164" fontId="9" fillId="0" borderId="0" xfId="0" applyFont="1" applyBorder="0" applyAlignment="1">
      <x:alignment horizontal="general" vertical="top" wrapText="1"/>
    </x:xf>
    <x:xf numFmtId="164" fontId="10" fillId="0" borderId="0" xfId="0" applyFont="1" applyBorder="0" applyAlignment="1">
      <x:alignment horizontal="general" vertical="top" wrapText="1"/>
    </x:xf>
    <x:xf numFmtId="164" fontId="11" fillId="0" borderId="0" xfId="0" applyNumberFormat="1" applyFont="1" applyFill="1" applyBorder="1" applyAlignment="1">
      <x:alignment horizontal="general" vertical="bottom" wrapText="0"/>
    </x:xf>
    <x:xf numFmtId="164" fontId="11" fillId="5" borderId="0" xfId="0" applyNumberFormat="1" applyFont="1" applyFill="1" applyBorder="1" applyAlignment="1">
      <x:alignment horizontal="general" vertical="bottom" wrapText="0"/>
    </x:xf>
    <x:xf numFmtId="164" fontId="12" fillId="5" borderId="0" xfId="0" applyNumberFormat="1" applyFont="1" applyFill="1" applyBorder="1" applyAlignment="1">
      <x:alignment horizontal="general" vertical="bottom" wrapText="0"/>
    </x:xf>
    <x:xf numFmtId="164" fontId="12" fillId="5" borderId="0" xfId="0" applyNumberFormat="1" applyFont="1" applyFill="1" applyBorder="1" applyAlignment="1">
      <x:alignment horizontal="general" vertical="center" wrapText="0"/>
    </x:xf>
    <x:xf numFmtId="164" fontId="11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1"/>
    </x:xf>
    <x:xf numFmtId="164" fontId="13" fillId="6" borderId="0" xfId="0" applyNumberFormat="1" applyFont="1" applyFill="1" applyBorder="1" applyAlignment="1">
      <x:alignment horizontal="center" vertical="bottom" wrapText="1"/>
    </x:xf>
    <x:xf numFmtId="164" fontId="13" fillId="6" borderId="0" xfId="0" applyNumberFormat="1" applyFont="1" applyFill="1" applyBorder="1" applyAlignment="1">
      <x:alignment horizontal="center" vertical="center" wrapText="1"/>
    </x:xf>
    <x:xf numFmtId="164" fontId="11" fillId="7" borderId="0" xfId="0" applyNumberFormat="1" applyFont="1" applyFill="1" applyBorder="1" applyAlignment="1">
      <x:alignment horizontal="general" vertical="bottom" wrapText="0"/>
    </x:xf>
    <x:xf numFmtId="200" fontId="11" fillId="7" borderId="0" xfId="0" applyNumberFormat="1" applyFont="1" applyFill="1" applyBorder="1" applyAlignment="1">
      <x:alignment horizontal="general" vertical="bottom" wrapText="0"/>
    </x:xf>
    <x:xf numFmtId="164" fontId="11" fillId="8" borderId="0" xfId="0" applyNumberFormat="1" applyFont="1" applyFill="1" applyBorder="1" applyAlignment="1">
      <x:alignment horizontal="general" vertical="bottom" wrapText="0"/>
    </x:xf>
    <x:xf numFmtId="164" fontId="14" fillId="8" borderId="0" xfId="0" applyNumberFormat="1" applyFont="1" applyFill="1" applyBorder="1" applyAlignment="1">
      <x:alignment horizontal="general" vertical="bottom" wrapText="0"/>
    </x:xf>
    <x:xf numFmtId="164" fontId="11" fillId="0" borderId="0" xfId="0" applyNumberFormat="1" applyFont="1" applyFill="1" applyBorder="1" applyAlignment="1">
      <x:alignment horizontal="general" vertical="bottom" wrapText="1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5" fillId="5" borderId="0" xfId="0" applyNumberFormat="1" applyFont="1" applyFill="1" applyBorder="1" applyAlignment="1">
      <x:alignment horizontal="general" vertical="center" wrapText="0"/>
    </x:xf>
    <x:xf numFmtId="164" fontId="15" fillId="6" borderId="0" xfId="0" applyNumberFormat="1" applyFont="1" applyFill="1" applyBorder="1" applyAlignment="1">
      <x:alignment horizontal="center" vertical="center" wrapText="1"/>
    </x:xf>
    <x:xf numFmtId="201" fontId="11" fillId="7" borderId="0" xfId="0" applyNumberFormat="1" applyFont="1" applyFill="1" applyBorder="1" applyAlignment="1">
      <x:alignment horizontal="general" vertical="bottom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2" xfId="0" applyNumberFormat="1" applyFont="1" applyFill="1" applyBorder="1" applyAlignment="1">
      <x:alignment horizontal="general" vertical="bottom" wrapText="0"/>
    </x:xf>
    <x:xf numFmtId="201" fontId="11" fillId="0" borderId="0" xfId="0" applyNumberFormat="1" applyFont="1" applyFill="1" applyBorder="1" applyAlignment="1">
      <x:alignment horizontal="general" vertical="bottom" wrapText="0"/>
    </x:xf>
    <x:xf numFmtId="201" fontId="0" fillId="0" borderId="0" xfId="0" applyNumberFormat="1" applyFont="1" applyFill="1" applyBorder="1" applyAlignment="1">
      <x:alignment horizontal="general" vertical="bottom" wrapText="0"/>
    </x:xf>
    <x:xf numFmtId="201" fontId="16" fillId="9" borderId="2" xfId="0" applyNumberFormat="1" applyFont="1" applyFill="1" applyBorder="1" applyAlignment="1">
      <x:alignment horizontal="general" vertical="bottom" wrapText="0"/>
    </x:xf>
    <x:xf numFmtId="164" fontId="11" fillId="9" borderId="0" xfId="0" applyNumberFormat="1" applyFont="1" applyFill="1" applyBorder="1" applyAlignment="1">
      <x:alignment horizontal="general" vertical="bottom" wrapText="0"/>
    </x:xf>
    <x:xf numFmtId="164" fontId="14" fillId="9" borderId="0" xfId="0" applyNumberFormat="1" applyFont="1" applyFill="1" applyBorder="1" applyAlignment="1">
      <x:alignment horizontal="general" vertical="bottom" wrapText="0"/>
    </x:xf>
    <x:xf numFmtId="164" fontId="14" fillId="9" borderId="3" xfId="0" applyNumberFormat="1" applyFont="1" applyFill="1" applyBorder="1" applyAlignment="1">
      <x:alignment horizontal="general" vertical="bottom" wrapText="0"/>
    </x:xf>
    <x:xf numFmtId="164" fontId="14" fillId="9" borderId="4" xfId="0" applyNumberFormat="1" applyFont="1" applyFill="1" applyBorder="1" applyAlignment="1">
      <x:alignment horizontal="general" vertical="bottom" wrapText="0"/>
    </x:xf>
    <x:xf numFmtId="164" fontId="14" fillId="9" borderId="5" xfId="0" applyNumberFormat="1" applyFont="1" applyFill="1" applyBorder="1" applyAlignment="1">
      <x:alignment horizontal="general" vertical="bottom" wrapText="0"/>
    </x:xf>
    <x:xf numFmtId="164" fontId="14" fillId="9" borderId="6" xfId="0" applyNumberFormat="1" applyFont="1" applyFill="1" applyBorder="1" applyAlignment="1">
      <x:alignment horizontal="general" vertical="bottom" wrapText="0"/>
    </x:xf>
    <x:xf numFmtId="164" fontId="14" fillId="9" borderId="7" xfId="0" applyNumberFormat="1" applyFont="1" applyFill="1" applyBorder="1" applyAlignment="1">
      <x:alignment horizontal="general" vertical="bottom" wrapText="0"/>
    </x:xf>
    <x:xf numFmtId="164" fontId="14" fillId="9" borderId="8" xfId="0" applyNumberFormat="1" applyFont="1" applyFill="1" applyBorder="1" applyAlignment="1">
      <x:alignment horizontal="general" vertical="bottom" wrapText="0"/>
    </x:xf>
    <x:xf numFmtId="164" fontId="17" fillId="0" borderId="0" xfId="0" applyNumberFormat="1" applyFont="1" applyFill="1" applyBorder="1" applyAlignment="1">
      <x:alignment horizontal="general" vertical="bottom" wrapText="0"/>
    </x:xf>
    <x:xf numFmtId="201" fontId="14" fillId="9" borderId="4" xfId="0" applyNumberFormat="1" applyFont="1" applyFill="1" applyBorder="1" applyAlignment="1">
      <x:alignment horizontal="general" vertical="bottom" wrapText="0"/>
    </x:xf>
    <x:xf numFmtId="201" fontId="14" fillId="9" borderId="5" xfId="0" applyNumberFormat="1" applyFont="1" applyFill="1" applyBorder="1" applyAlignment="1">
      <x:alignment horizontal="general" vertical="bottom" wrapText="0"/>
    </x:xf>
    <x:xf numFmtId="201" fontId="14" fillId="9" borderId="7" xfId="0" applyNumberFormat="1" applyFont="1" applyFill="1" applyBorder="1" applyAlignment="1">
      <x:alignment horizontal="general" vertical="bottom" wrapText="0"/>
    </x:xf>
    <x:xf numFmtId="201" fontId="14" fillId="9" borderId="8" xfId="0" applyNumberFormat="1" applyFont="1" applyFill="1" applyBorder="1" applyAlignment="1">
      <x:alignment horizontal="general" vertical="bottom" wrapText="0"/>
    </x:xf>
    <x:xf numFmtId="164" fontId="15" fillId="9" borderId="0" xfId="0" applyNumberFormat="1" applyFont="1" applyFill="1" applyBorder="1" applyAlignment="1">
      <x:alignment horizontal="general" vertical="bottom" wrapText="0"/>
    </x:xf>
    <x:xf numFmtId="164" fontId="15" fillId="9" borderId="3" xfId="0" applyNumberFormat="1" applyFont="1" applyFill="1" applyBorder="1" applyAlignment="1">
      <x:alignment horizontal="general" vertical="bottom" wrapText="0"/>
    </x:xf>
    <x:xf numFmtId="164" fontId="15" fillId="9" borderId="5" xfId="0" applyNumberFormat="1" applyFont="1" applyFill="1" applyBorder="1" applyAlignment="1">
      <x:alignment horizontal="general" vertical="bottom" wrapText="0"/>
    </x:xf>
    <x:xf numFmtId="164" fontId="15" fillId="9" borderId="9" xfId="0" applyNumberFormat="1" applyFont="1" applyFill="1" applyBorder="1" applyAlignment="1">
      <x:alignment horizontal="general" vertical="bottom" wrapText="0"/>
    </x:xf>
    <x:xf numFmtId="164" fontId="15" fillId="9" borderId="10" xfId="0" applyNumberFormat="1" applyFont="1" applyFill="1" applyBorder="1" applyAlignment="1">
      <x:alignment horizontal="general" vertical="bottom" wrapText="0"/>
    </x:xf>
    <x:xf numFmtId="164" fontId="15" fillId="9" borderId="6" xfId="0" applyNumberFormat="1" applyFont="1" applyFill="1" applyBorder="1" applyAlignment="1">
      <x:alignment horizontal="general" vertical="bottom" wrapText="0"/>
    </x:xf>
    <x:xf numFmtId="164" fontId="15" fillId="9" borderId="8" xfId="0" applyNumberFormat="1" applyFont="1" applyFill="1" applyBorder="1" applyAlignment="1">
      <x:alignment horizontal="general" vertical="bottom" wrapText="0"/>
    </x:xf>
    <x:xf numFmtId="201" fontId="15" fillId="9" borderId="5" xfId="0" applyNumberFormat="1" applyFont="1" applyFill="1" applyBorder="1" applyAlignment="1">
      <x:alignment horizontal="general" vertical="bottom" wrapText="0"/>
    </x:xf>
    <x:xf numFmtId="201" fontId="15" fillId="9" borderId="10" xfId="0" applyNumberFormat="1" applyFont="1" applyFill="1" applyBorder="1" applyAlignment="1">
      <x:alignment horizontal="general" vertical="bottom" wrapText="0"/>
    </x:xf>
    <x:xf numFmtId="201" fontId="15" fillId="9" borderId="8" xfId="0" applyNumberFormat="1" applyFont="1" applyFill="1" applyBorder="1" applyAlignment="1">
      <x:alignment horizontal="general" vertical="bottom" wrapText="0"/>
    </x:xf>
    <x:xf numFmtId="164" fontId="18" fillId="5" borderId="0" xfId="0" applyNumberFormat="1" applyFont="1" applyFill="1" applyBorder="1" applyAlignment="1">
      <x:alignment horizontal="general" vertical="bottom" wrapText="0"/>
    </x:xf>
    <x:xf numFmtId="164" fontId="18" fillId="5" borderId="0" xfId="0" applyNumberFormat="1" applyFont="1" applyFill="1" applyBorder="1" applyAlignment="1">
      <x:alignment horizontal="general" vertical="center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200" fontId="14" fillId="7" borderId="0" xfId="0" applyNumberFormat="1" applyFont="1" applyFill="1" applyBorder="1" applyAlignment="1">
      <x:alignment horizontal="general" vertical="bottom" wrapText="0"/>
    </x:xf>
    <x:xf numFmtId="164" fontId="19" fillId="2" borderId="1" xfId="0" applyNumberFormat="1" applyFont="1" applyFill="1" applyBorder="1" applyAlignment="1">
      <x:alignment horizontal="center" vertical="bottom" wrapText="0"/>
    </x:xf>
    <x:xf numFmtId="164" fontId="19" fillId="9" borderId="1" xfId="0" applyNumberFormat="1" applyFont="1" applyFill="1" applyBorder="1" applyAlignment="1">
      <x:alignment horizontal="center" vertical="bottom" wrapText="0"/>
    </x:xf>
    <x:xf numFmtId="164" fontId="20" fillId="7" borderId="0" xfId="0" applyNumberFormat="1" applyFont="1" applyFill="1" applyBorder="1" applyAlignment="1">
      <x:alignment horizontal="general" vertical="bottom" wrapText="0"/>
    </x:xf>
    <x:xf numFmtId="164" fontId="20" fillId="7" borderId="0" xfId="0" applyNumberFormat="1" applyFont="1" applyFill="1" applyBorder="1" applyAlignment="1">
      <x:alignment horizontal="general" vertical="bottom" wrapText="1"/>
    </x:xf>
    <x:xf numFmtId="164" fontId="21" fillId="0" borderId="0" xfId="0" applyNumberFormat="1" applyFont="1" applyFill="1" applyBorder="1" applyAlignment="1">
      <x:alignment horizontal="general" vertical="bottom" wrapText="0"/>
    </x:xf>
    <x:xf numFmtId="164" fontId="21" fillId="9" borderId="0" xfId="0" applyNumberFormat="1" applyFont="1" applyFill="1" applyBorder="1" applyAlignment="1">
      <x:alignment horizontal="general" vertical="bottom" wrapText="0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22" fillId="5" borderId="0" xfId="0" applyNumberFormat="1" applyFont="1" applyFill="1" applyBorder="1" applyAlignment="1">
      <x:alignment horizontal="general" vertical="bottom" wrapText="0"/>
    </x:xf>
    <x:xf numFmtId="164" fontId="22" fillId="5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6" borderId="0" xfId="0" applyNumberFormat="1" applyFont="1" applyFill="1" applyBorder="1" applyAlignment="1">
      <x:alignment horizontal="general" vertical="bottom" wrapText="1"/>
    </x:xf>
    <x:xf numFmtId="164" fontId="23" fillId="6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537dbd5cdc4652" /><Relationship Type="http://schemas.openxmlformats.org/officeDocument/2006/relationships/theme" Target="/xl/theme/theme1.xml" Id="R25d23d3253824b88" /><Relationship Type="http://schemas.openxmlformats.org/officeDocument/2006/relationships/sharedStrings" Target="/xl/sharedStrings.xml" Id="Re3a2e8e42fc14ab7" /><Relationship Type="http://schemas.openxmlformats.org/officeDocument/2006/relationships/worksheet" Target="/xl/worksheets/sheet1.xml" Id="R88be4784c5a94cc4" /><Relationship Type="http://schemas.openxmlformats.org/officeDocument/2006/relationships/worksheet" Target="/xl/worksheets/sheet2.xml" Id="R567cefda788d4976" /><Relationship Type="http://schemas.openxmlformats.org/officeDocument/2006/relationships/worksheet" Target="/xl/worksheets/sheet3.xml" Id="Ra7a60c0000d14bcb" /><Relationship Type="http://schemas.openxmlformats.org/officeDocument/2006/relationships/worksheet" Target="/xl/worksheets/sheet4.xml" Id="R5f77f72e01544f00" /><Relationship Type="http://schemas.openxmlformats.org/officeDocument/2006/relationships/worksheet" Target="/xl/worksheets/sheet5.xml" Id="Rc47dde201fca4df4" /><Relationship Type="http://schemas.openxmlformats.org/officeDocument/2006/relationships/worksheet" Target="/xl/worksheets/sheet6.xml" Id="Re43b90f4c5a24005" /><Relationship Type="http://schemas.openxmlformats.org/officeDocument/2006/relationships/worksheet" Target="/xl/worksheets/sheet7.xml" Id="R4aa208dfbf7f4afa" /><Relationship Type="http://schemas.openxmlformats.org/officeDocument/2006/relationships/worksheet" Target="/xl/worksheets/sheet8.xml" Id="R46138334324f437c" /><Relationship Type="http://schemas.openxmlformats.org/officeDocument/2006/relationships/worksheet" Target="/xl/worksheets/sheet9.xml" Id="R0adada7fe6ac416f" /><Relationship Type="http://schemas.openxmlformats.org/officeDocument/2006/relationships/worksheet" Target="/xl/worksheets/sheet10.xml" Id="R9c80867eb20e43ee" /><Relationship Type="http://schemas.openxmlformats.org/officeDocument/2006/relationships/worksheet" Target="/xl/worksheets/sheet11.xml" Id="R18d37fc031954694" /><Relationship Type="http://schemas.openxmlformats.org/officeDocument/2006/relationships/worksheet" Target="/xl/worksheets/sheet12.xml" Id="R9696fe2de0ef4907" /><Relationship Type="http://schemas.openxmlformats.org/officeDocument/2006/relationships/worksheet" Target="/xl/worksheets/sheet13.xml" Id="R8d397cac99e24e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a35284b52a4f5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Przychody i koszty według miesiąca (PLN)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Przychody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'Dashboard'!$A$18:$A$29</c:f>
              <c:strCache>
                <c:ptCount val="0"/>
              </c:strCache>
            </c:strRef>
          </c:cat>
          <c:val>
            <c:numRef>
              <c:f>'Dashboard'!$B$18:$B$29</c:f>
              <c:numCache>
                <c:formatCode>#,##0.00;[Red](#,##0.00);-</c:formatCode>
                <c:ptCount val="0"/>
              </c:numCache>
            </c:numRef>
          </c:val>
        </c:ser>
        <c:ser>
          <c:idx val="1"/>
          <c:order val="1"/>
          <c:tx>
            <c:v>Koszty</c:v>
          </c:tx>
          <c:spPr>
            <a:solidFill xmlns:a="http://schemas.openxmlformats.org/drawingml/2006/main">
              <a:srgbClr val="555555"/>
            </a:solidFill>
          </c:spPr>
          <c:cat>
            <c:strRef>
              <c:f>'Dashboard'!$A$18:$A$29</c:f>
              <c:strCache>
                <c:ptCount val="0"/>
              </c:strCache>
            </c:strRef>
          </c:cat>
          <c:val>
            <c:numRef>
              <c:f>'Dashboard'!$C$18:$C$29</c:f>
              <c:numCache>
                <c:formatCode>#,##0.00;[Red](#,##0.00);-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a35284b52a4f5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722b03d7dcf4724" /></Relationships>
</file>

<file path=xl/worksheets/sheet1.xml><?xml version="1.0" encoding="utf-8"?>
<x:worksheet xmlns:x="http://schemas.openxmlformats.org/spreadsheetml/2006/main">
  <x:sheetPr>
    <x:tabColor rgb="FF171717"/>
  </x:sheetPr>
  <x:sheetViews>
    <x:sheetView showGridLines="0" workbookViewId="0"/>
  </x:sheetViews>
  <x:sheetFormatPr defaultColWidth="8.6796875" defaultRowHeight="15"/>
  <x:cols>
    <x:col min="1" max="1" width="37" style="1" hidden="0" customWidth="1"/>
    <x:col min="2" max="4" width="15" style="1" hidden="0" customWidth="1"/>
    <x:col min="2" max="2" width="22" hidden="0" customWidth="1"/>
    <x:col min="3" max="3" width="20" hidden="0" customWidth="1"/>
    <x:col min="4" max="4" width="43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4" hidden="0" customHeight="1">
      <x:c r="A1" s="71" t="str">
        <x:v>KSIĘGI RACHUNKOWE — PANEL KONTROLNY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 ht="32" hidden="0" customHeight="1">
      <x:c r="A3" s="31" t="str">
        <x:v>Okres raportowania — wybierz miesiąc</x:v>
      </x:c>
      <x:c r="B3" s="31" t="str">
        <x:f aca="0"/>
        <x:v>Data końca miesiąca</x:v>
      </x:c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4" ht="15" hidden="0" customHeight="1">
      <x:c r="A4" s="73" t="n">
        <x:v>46266</x:v>
      </x:c>
      <x:c r="B4" s="73" t="n">
        <x:f aca="0">DATE(YEAR(A4),MONTH(A4)+1,0)</x:f>
        <x:v>46295</x:v>
      </x:c>
      <x:c r="C4" s="23"/>
      <x:c r="D4" s="23"/>
      <x:c r="E4" s="23"/>
      <x:c r="F4" s="23"/>
      <x:c r="G4" s="23"/>
      <x:c r="H4" s="23"/>
      <x:c r="I4" s="23"/>
      <x:c r="J4" s="23"/>
      <x:c r="K4" s="23"/>
      <x:c r="L4" s="23"/>
    </x:row>
    <x:row r="5" ht="15" hidden="0" customHeight="1">
      <x:c r="A5" s="23"/>
      <x:c r="B5" s="23">
        <x:f aca="0"/>
      </x:c>
      <x:c r="C5" s="23"/>
      <x:c r="D5" s="23"/>
      <x:c r="E5" s="23"/>
      <x:c r="F5" s="23"/>
      <x:c r="G5" s="23"/>
      <x:c r="H5" s="23"/>
      <x:c r="I5" s="23"/>
      <x:c r="J5" s="23"/>
      <x:c r="K5" s="23"/>
      <x:c r="L5" s="23"/>
    </x:row>
    <x:row r="6" ht="32" hidden="0" customHeight="1">
      <x:c r="A6" s="31" t="str">
        <x:v>Wskaźnik</x:v>
      </x:c>
      <x:c r="B6" s="31" t="str">
        <x:f aca="0"/>
        <x:v>Wartość</x:v>
      </x:c>
      <x:c r="C6" s="31" t="str">
        <x:v>Jednostka</x:v>
      </x:c>
      <x:c r="D6" s="31" t="str">
        <x:v>Opis</x:v>
      </x:c>
      <x:c r="E6" s="23"/>
      <x:c r="F6" s="23"/>
      <x:c r="G6" s="23"/>
      <x:c r="H6" s="23"/>
      <x:c r="I6" s="23"/>
      <x:c r="J6" s="23"/>
      <x:c r="K6" s="23"/>
      <x:c r="L6" s="23"/>
    </x:row>
    <x:row r="7">
      <x:c r="A7" s="23" t="str">
        <x:v>Przychody bieżącego miesiąca</x:v>
      </x:c>
      <x:c r="B7" s="44" t="n">
        <x:f>SUM('Rachunek wyników'!B4:B5)+SUM('Rachunek wyników'!B8)</x:f>
        <x:v>0</x:v>
      </x:c>
      <x:c r="C7" s="23" t="str">
        <x:v>PLN</x:v>
      </x:c>
      <x:c r="D7" s="23" t="str">
        <x:v>Obroty MA na kontach przychodowych</x:v>
      </x:c>
      <x:c r="E7" s="23"/>
      <x:c r="F7" s="23"/>
      <x:c r="G7" s="23"/>
      <x:c r="H7" s="23"/>
      <x:c r="I7" s="23"/>
      <x:c r="J7" s="23"/>
      <x:c r="K7" s="23"/>
      <x:c r="L7" s="23"/>
    </x:row>
    <x:row r="8">
      <x:c r="A8" s="23" t="str">
        <x:v>Koszty bieżącego miesiąca</x:v>
      </x:c>
      <x:c r="B8" s="44" t="n">
        <x:f>SUM('Rachunek wyników'!B6:B7)+SUM('Rachunek wyników'!B9:B10)</x:f>
        <x:v>0</x:v>
      </x:c>
      <x:c r="C8" s="23" t="str">
        <x:v>PLN</x:v>
      </x:c>
      <x:c r="D8" s="23" t="str">
        <x:v>Obroty WN na kontach kosztowych</x:v>
      </x:c>
      <x:c r="E8" s="23"/>
      <x:c r="F8" s="23"/>
      <x:c r="G8" s="23"/>
      <x:c r="H8" s="23"/>
      <x:c r="I8" s="23"/>
      <x:c r="J8" s="23"/>
      <x:c r="K8" s="23"/>
      <x:c r="L8" s="23"/>
    </x:row>
    <x:row r="9">
      <x:c r="A9" s="23" t="str">
        <x:v>Wynik netto — miesiąc</x:v>
      </x:c>
      <x:c r="B9" s="44" t="n">
        <x:f>'Rachunek wyników'!B12</x:f>
        <x:v>0</x:v>
      </x:c>
      <x:c r="C9" s="23" t="str">
        <x:v>PLN</x:v>
      </x:c>
      <x:c r="D9" s="23" t="str">
        <x:v>Według mapowania RZiS</x:v>
      </x:c>
      <x:c r="E9" s="23"/>
      <x:c r="F9" s="23"/>
      <x:c r="G9" s="23"/>
      <x:c r="H9" s="23"/>
      <x:c r="I9" s="23"/>
      <x:c r="J9" s="23"/>
      <x:c r="K9" s="23"/>
      <x:c r="L9" s="23"/>
    </x:row>
    <x:row r="10">
      <x:c r="A10" s="23" t="str">
        <x:v>Aktywa razem</x:v>
      </x:c>
      <x:c r="B10" s="44" t="n">
        <x:f>'Bilans'!B13</x:f>
        <x:v>0</x:v>
      </x:c>
      <x:c r="C10" s="23" t="str">
        <x:v>PLN</x:v>
      </x:c>
      <x:c r="D10" s="23" t="str">
        <x:v>Bilans roboczy</x:v>
      </x:c>
      <x:c r="E10" s="23"/>
      <x:c r="F10" s="23"/>
      <x:c r="G10" s="23"/>
      <x:c r="H10" s="23"/>
      <x:c r="I10" s="23"/>
      <x:c r="J10" s="23"/>
      <x:c r="K10" s="23"/>
      <x:c r="L10" s="23"/>
    </x:row>
    <x:row r="11">
      <x:c r="A11" s="23" t="str">
        <x:v>Pasywa razem</x:v>
      </x:c>
      <x:c r="B11" s="44" t="n">
        <x:f>'Bilans'!B14</x:f>
        <x:v>0</x:v>
      </x:c>
      <x:c r="C11" s="23" t="str">
        <x:v>PLN</x:v>
      </x:c>
      <x:c r="D11" s="23" t="str">
        <x:v>Bilans roboczy</x:v>
      </x:c>
      <x:c r="E11" s="23"/>
      <x:c r="F11" s="23"/>
      <x:c r="G11" s="23"/>
      <x:c r="H11" s="23"/>
      <x:c r="I11" s="23"/>
      <x:c r="J11" s="23"/>
      <x:c r="K11" s="23"/>
      <x:c r="L11" s="23"/>
    </x:row>
    <x:row r="12">
      <x:c r="A12" s="23" t="str">
        <x:v>Kontrola dziennika</x:v>
      </x:c>
      <x:c r="B12" s="23" t="str">
        <x:f>IF(COUNTIF('Dziennik'!B4:B503,"&lt;&gt;")=0,"BRAK ZAPISÓW",IF(COUNTIF('Dziennik'!K4:K503,"NIEZGODNY")=0,"OK","WYMAGA POPRAWY"))</x:f>
        <x:v>BRAK ZAPISÓW</x:v>
      </x:c>
      <x:c r="C12" s="23" t="str">
        <x:v>status</x:v>
      </x:c>
      <x:c r="D12" s="23" t="str">
        <x:v>Dekrety zbilansowane</x:v>
      </x:c>
      <x:c r="E12" s="23"/>
      <x:c r="F12" s="23"/>
      <x:c r="G12" s="23"/>
      <x:c r="H12" s="23"/>
      <x:c r="I12" s="23"/>
      <x:c r="J12" s="23"/>
      <x:c r="K12" s="23"/>
      <x:c r="L12" s="23"/>
    </x:row>
    <x:row r="13">
      <x:c r="A13" s="23" t="str">
        <x:v>Kontrola obrotów</x:v>
      </x:c>
      <x:c r="B13" s="23" t="str">
        <x:f>IF(B12="BRAK ZAPISÓW","BRAK DANYCH",'Obroty i salda'!H36)</x:f>
        <x:v>BRAK DANYCH</x:v>
      </x:c>
      <x:c r="C13" s="23" t="str">
        <x:v>status</x:v>
      </x:c>
      <x:c r="D13" s="23" t="str">
        <x:v>Obroty WN = MA</x:v>
      </x:c>
      <x:c r="E13" s="23"/>
      <x:c r="F13" s="23"/>
      <x:c r="G13" s="23"/>
      <x:c r="H13" s="23"/>
      <x:c r="I13" s="23"/>
      <x:c r="J13" s="23"/>
      <x:c r="K13" s="23"/>
      <x:c r="L13" s="23"/>
    </x:row>
    <x:row r="14">
      <x:c r="A14" s="48" t="str">
        <x:f>IF(B12="OK","Dekrety zbilansowane",IF(B12="BRAK ZAPISÓW","Wprowadź pierwszy dekret","Sprawdź ID dekretu i kwoty WN/MA"))</x:f>
        <x:v>Wprowadź pierwszy dekret</x:v>
      </x:c>
      <x:c r="B14" s="48"/>
      <x:c r="C14" s="48"/>
      <x:c r="D14" s="48"/>
      <x:c r="E14" s="23"/>
      <x:c r="F14" s="23"/>
      <x:c r="G14" s="23"/>
      <x:c r="H14" s="23"/>
      <x:c r="I14" s="23"/>
      <x:c r="J14" s="23"/>
      <x:c r="K14" s="23"/>
      <x:c r="L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</x:row>
    <x:row r="17" ht="32" customHeight="1">
      <x:c r="A17" s="31" t="str">
        <x:v>Miesiąc</x:v>
      </x:c>
      <x:c r="B17" s="31" t="str">
        <x:v>Przychody</x:v>
      </x:c>
      <x:c r="C17" s="31" t="str">
        <x:v>Koszty</x:v>
      </x:c>
      <x:c r="D17" s="23"/>
      <x:c r="E17" s="23"/>
      <x:c r="F17" s="23"/>
      <x:c r="G17" s="23"/>
      <x:c r="H17" s="23"/>
      <x:c r="I17" s="23"/>
      <x:c r="J17" s="23"/>
      <x:c r="K17" s="23"/>
      <x:c r="L17" s="23"/>
    </x:row>
    <x:row r="18">
      <x:c r="A18" s="23" t="str">
        <x:v>sty</x:v>
      </x:c>
      <x:c r="B18" s="44" t="n">
        <x:f>SUM(SUMIFS('Dziennik'!$H$4:$H$503,'Dziennik'!$E$4:$E$503,{"700","701","730","750","760"},'Dziennik'!$A$4:$A$503,"&gt;="&amp;DATE(YEAR($A$4),1,1),'Dziennik'!$A$4:$A$503,"&lt;="&amp;DATE(YEAR($A$4),2,0)))</x:f>
        <x:v>0</x:v>
      </x:c>
      <x:c r="C18" s="44" t="n">
        <x:f>SUM(SUMIFS('Dziennik'!$G$4:$G$503,'Dziennik'!$E$4:$E$503,{"400","401","402","403","404","405","409","751","761","870"},'Dziennik'!$A$4:$A$503,"&gt;="&amp;DATE(YEAR($A$4),1,1),'Dziennik'!$A$4:$A$503,"&lt;="&amp;DATE(YEAR($A$4),2,0)))</x:f>
        <x:v>0</x:v>
      </x:c>
      <x:c r="D18" s="23"/>
      <x:c r="E18" s="23"/>
      <x:c r="F18" s="23"/>
      <x:c r="G18" s="23"/>
      <x:c r="H18" s="23"/>
      <x:c r="I18" s="23"/>
      <x:c r="J18" s="23"/>
      <x:c r="K18" s="23"/>
      <x:c r="L18" s="23"/>
    </x:row>
    <x:row r="19">
      <x:c r="A19" s="23" t="str">
        <x:v>lut</x:v>
      </x:c>
      <x:c r="B19" s="44" t="n">
        <x:f>SUM(SUMIFS('Dziennik'!$H$4:$H$503,'Dziennik'!$E$4:$E$503,{"700","701","730","750","760"},'Dziennik'!$A$4:$A$503,"&gt;="&amp;DATE(YEAR($A$4),2,1),'Dziennik'!$A$4:$A$503,"&lt;="&amp;DATE(YEAR($A$4),3,0)))</x:f>
        <x:v>0</x:v>
      </x:c>
      <x:c r="C19" s="44" t="n">
        <x:f>SUM(SUMIFS('Dziennik'!$G$4:$G$503,'Dziennik'!$E$4:$E$503,{"400","401","402","403","404","405","409","751","761","870"},'Dziennik'!$A$4:$A$503,"&gt;="&amp;DATE(YEAR($A$4),2,1),'Dziennik'!$A$4:$A$503,"&lt;="&amp;DATE(YEAR($A$4),3,0)))</x:f>
        <x:v>0</x:v>
      </x:c>
      <x:c r="D19" s="23"/>
      <x:c r="E19" s="23"/>
      <x:c r="F19" s="23"/>
      <x:c r="G19" s="23"/>
      <x:c r="H19" s="23"/>
      <x:c r="I19" s="23"/>
      <x:c r="J19" s="23"/>
      <x:c r="K19" s="23"/>
      <x:c r="L19" s="23"/>
    </x:row>
    <x:row r="20">
      <x:c r="A20" s="23" t="str">
        <x:v>mar</x:v>
      </x:c>
      <x:c r="B20" s="44" t="n">
        <x:f>SUM(SUMIFS('Dziennik'!$H$4:$H$503,'Dziennik'!$E$4:$E$503,{"700","701","730","750","760"},'Dziennik'!$A$4:$A$503,"&gt;="&amp;DATE(YEAR($A$4),3,1),'Dziennik'!$A$4:$A$503,"&lt;="&amp;DATE(YEAR($A$4),4,0)))</x:f>
        <x:v>0</x:v>
      </x:c>
      <x:c r="C20" s="44" t="n">
        <x:f>SUM(SUMIFS('Dziennik'!$G$4:$G$503,'Dziennik'!$E$4:$E$503,{"400","401","402","403","404","405","409","751","761","870"},'Dziennik'!$A$4:$A$503,"&gt;="&amp;DATE(YEAR($A$4),3,1),'Dziennik'!$A$4:$A$503,"&lt;="&amp;DATE(YEAR($A$4),4,0)))</x:f>
        <x:v>0</x:v>
      </x:c>
      <x:c r="D20" s="23"/>
      <x:c r="E20" s="23"/>
      <x:c r="F20" s="23"/>
      <x:c r="G20" s="23"/>
      <x:c r="H20" s="23"/>
      <x:c r="I20" s="23"/>
      <x:c r="J20" s="23"/>
      <x:c r="K20" s="23"/>
      <x:c r="L20" s="23"/>
    </x:row>
    <x:row r="21">
      <x:c r="A21" s="23" t="str">
        <x:v>kwi</x:v>
      </x:c>
      <x:c r="B21" s="44" t="n">
        <x:f>SUM(SUMIFS('Dziennik'!$H$4:$H$503,'Dziennik'!$E$4:$E$503,{"700","701","730","750","760"},'Dziennik'!$A$4:$A$503,"&gt;="&amp;DATE(YEAR($A$4),4,1),'Dziennik'!$A$4:$A$503,"&lt;="&amp;DATE(YEAR($A$4),5,0)))</x:f>
        <x:v>0</x:v>
      </x:c>
      <x:c r="C21" s="44" t="n">
        <x:f>SUM(SUMIFS('Dziennik'!$G$4:$G$503,'Dziennik'!$E$4:$E$503,{"400","401","402","403","404","405","409","751","761","870"},'Dziennik'!$A$4:$A$503,"&gt;="&amp;DATE(YEAR($A$4),4,1),'Dziennik'!$A$4:$A$503,"&lt;="&amp;DATE(YEAR($A$4),5,0)))</x:f>
        <x:v>0</x:v>
      </x:c>
      <x:c r="D21" s="23"/>
      <x:c r="E21" s="23"/>
      <x:c r="F21" s="23"/>
      <x:c r="G21" s="23"/>
      <x:c r="H21" s="23"/>
      <x:c r="I21" s="23"/>
      <x:c r="J21" s="23"/>
      <x:c r="K21" s="23"/>
      <x:c r="L21" s="23"/>
    </x:row>
    <x:row r="22">
      <x:c r="A22" s="23" t="str">
        <x:v>maj</x:v>
      </x:c>
      <x:c r="B22" s="44" t="n">
        <x:f>SUM(SUMIFS('Dziennik'!$H$4:$H$503,'Dziennik'!$E$4:$E$503,{"700","701","730","750","760"},'Dziennik'!$A$4:$A$503,"&gt;="&amp;DATE(YEAR($A$4),5,1),'Dziennik'!$A$4:$A$503,"&lt;="&amp;DATE(YEAR($A$4),6,0)))</x:f>
        <x:v>0</x:v>
      </x:c>
      <x:c r="C22" s="44" t="n">
        <x:f>SUM(SUMIFS('Dziennik'!$G$4:$G$503,'Dziennik'!$E$4:$E$503,{"400","401","402","403","404","405","409","751","761","870"},'Dziennik'!$A$4:$A$503,"&gt;="&amp;DATE(YEAR($A$4),5,1),'Dziennik'!$A$4:$A$503,"&lt;="&amp;DATE(YEAR($A$4),6,0)))</x:f>
        <x:v>0</x:v>
      </x:c>
      <x:c r="D22" s="23"/>
      <x:c r="E22" s="23"/>
      <x:c r="F22" s="23"/>
      <x:c r="G22" s="23"/>
      <x:c r="H22" s="23"/>
      <x:c r="I22" s="23"/>
      <x:c r="J22" s="23"/>
      <x:c r="K22" s="23"/>
      <x:c r="L22" s="23"/>
    </x:row>
    <x:row r="23">
      <x:c r="A23" s="23" t="str">
        <x:v>cze</x:v>
      </x:c>
      <x:c r="B23" s="44" t="n">
        <x:f>SUM(SUMIFS('Dziennik'!$H$4:$H$503,'Dziennik'!$E$4:$E$503,{"700","701","730","750","760"},'Dziennik'!$A$4:$A$503,"&gt;="&amp;DATE(YEAR($A$4),6,1),'Dziennik'!$A$4:$A$503,"&lt;="&amp;DATE(YEAR($A$4),7,0)))</x:f>
        <x:v>0</x:v>
      </x:c>
      <x:c r="C23" s="44" t="n">
        <x:f>SUM(SUMIFS('Dziennik'!$G$4:$G$503,'Dziennik'!$E$4:$E$503,{"400","401","402","403","404","405","409","751","761","870"},'Dziennik'!$A$4:$A$503,"&gt;="&amp;DATE(YEAR($A$4),6,1),'Dziennik'!$A$4:$A$503,"&lt;="&amp;DATE(YEAR($A$4),7,0)))</x:f>
        <x:v>0</x:v>
      </x:c>
      <x:c r="D23" s="23"/>
      <x:c r="E23" s="23"/>
      <x:c r="F23" s="23"/>
      <x:c r="G23" s="23"/>
      <x:c r="H23" s="23"/>
      <x:c r="I23" s="23"/>
      <x:c r="J23" s="23"/>
      <x:c r="K23" s="23"/>
      <x:c r="L23" s="23"/>
    </x:row>
    <x:row r="24">
      <x:c r="A24" s="23" t="str">
        <x:v>lip</x:v>
      </x:c>
      <x:c r="B24" s="44" t="n">
        <x:f>SUM(SUMIFS('Dziennik'!$H$4:$H$503,'Dziennik'!$E$4:$E$503,{"700","701","730","750","760"},'Dziennik'!$A$4:$A$503,"&gt;="&amp;DATE(YEAR($A$4),7,1),'Dziennik'!$A$4:$A$503,"&lt;="&amp;DATE(YEAR($A$4),8,0)))</x:f>
        <x:v>0</x:v>
      </x:c>
      <x:c r="C24" s="44" t="n">
        <x:f>SUM(SUMIFS('Dziennik'!$G$4:$G$503,'Dziennik'!$E$4:$E$503,{"400","401","402","403","404","405","409","751","761","870"},'Dziennik'!$A$4:$A$503,"&gt;="&amp;DATE(YEAR($A$4),7,1),'Dziennik'!$A$4:$A$503,"&lt;="&amp;DATE(YEAR($A$4),8,0)))</x:f>
        <x:v>0</x:v>
      </x:c>
      <x:c r="D24" s="23"/>
      <x:c r="E24" s="23"/>
      <x:c r="F24" s="23"/>
      <x:c r="G24" s="23"/>
      <x:c r="H24" s="23"/>
      <x:c r="I24" s="23"/>
      <x:c r="J24" s="23"/>
      <x:c r="K24" s="23"/>
      <x:c r="L24" s="23"/>
    </x:row>
    <x:row r="25">
      <x:c r="A25" s="23" t="str">
        <x:v>sie</x:v>
      </x:c>
      <x:c r="B25" s="44" t="n">
        <x:f>SUM(SUMIFS('Dziennik'!$H$4:$H$503,'Dziennik'!$E$4:$E$503,{"700","701","730","750","760"},'Dziennik'!$A$4:$A$503,"&gt;="&amp;DATE(YEAR($A$4),8,1),'Dziennik'!$A$4:$A$503,"&lt;="&amp;DATE(YEAR($A$4),9,0)))</x:f>
        <x:v>0</x:v>
      </x:c>
      <x:c r="C25" s="44" t="n">
        <x:f>SUM(SUMIFS('Dziennik'!$G$4:$G$503,'Dziennik'!$E$4:$E$503,{"400","401","402","403","404","405","409","751","761","870"},'Dziennik'!$A$4:$A$503,"&gt;="&amp;DATE(YEAR($A$4),8,1),'Dziennik'!$A$4:$A$503,"&lt;="&amp;DATE(YEAR($A$4),9,0)))</x:f>
        <x:v>0</x:v>
      </x:c>
      <x:c r="D25" s="23"/>
      <x:c r="E25" s="23"/>
      <x:c r="F25" s="23"/>
      <x:c r="G25" s="23"/>
      <x:c r="H25" s="23"/>
      <x:c r="I25" s="23"/>
      <x:c r="J25" s="23"/>
      <x:c r="K25" s="23"/>
      <x:c r="L25" s="23"/>
    </x:row>
    <x:row r="26">
      <x:c r="A26" s="23" t="str">
        <x:v>wrz</x:v>
      </x:c>
      <x:c r="B26" s="44" t="n">
        <x:f>SUM(SUMIFS('Dziennik'!$H$4:$H$503,'Dziennik'!$E$4:$E$503,{"700","701","730","750","760"},'Dziennik'!$A$4:$A$503,"&gt;="&amp;DATE(YEAR($A$4),9,1),'Dziennik'!$A$4:$A$503,"&lt;="&amp;DATE(YEAR($A$4),10,0)))</x:f>
        <x:v>0</x:v>
      </x:c>
      <x:c r="C26" s="44" t="n">
        <x:f>SUM(SUMIFS('Dziennik'!$G$4:$G$503,'Dziennik'!$E$4:$E$503,{"400","401","402","403","404","405","409","751","761","870"},'Dziennik'!$A$4:$A$503,"&gt;="&amp;DATE(YEAR($A$4),9,1),'Dziennik'!$A$4:$A$503,"&lt;="&amp;DATE(YEAR($A$4),10,0)))</x:f>
        <x:v>0</x:v>
      </x:c>
      <x:c r="D26" s="23"/>
      <x:c r="E26" s="23"/>
      <x:c r="F26" s="23"/>
      <x:c r="G26" s="23"/>
      <x:c r="H26" s="23"/>
      <x:c r="I26" s="23"/>
      <x:c r="J26" s="23"/>
      <x:c r="K26" s="23"/>
      <x:c r="L26" s="23"/>
    </x:row>
    <x:row r="27">
      <x:c r="A27" s="23" t="str">
        <x:v>paź</x:v>
      </x:c>
      <x:c r="B27" s="44" t="n">
        <x:f>SUM(SUMIFS('Dziennik'!$H$4:$H$503,'Dziennik'!$E$4:$E$503,{"700","701","730","750","760"},'Dziennik'!$A$4:$A$503,"&gt;="&amp;DATE(YEAR($A$4),10,1),'Dziennik'!$A$4:$A$503,"&lt;="&amp;DATE(YEAR($A$4),11,0)))</x:f>
        <x:v>0</x:v>
      </x:c>
      <x:c r="C27" s="44" t="n">
        <x:f>SUM(SUMIFS('Dziennik'!$G$4:$G$503,'Dziennik'!$E$4:$E$503,{"400","401","402","403","404","405","409","751","761","870"},'Dziennik'!$A$4:$A$503,"&gt;="&amp;DATE(YEAR($A$4),10,1),'Dziennik'!$A$4:$A$503,"&lt;="&amp;DATE(YEAR($A$4),11,0)))</x:f>
        <x:v>0</x:v>
      </x:c>
      <x:c r="D27" s="23"/>
      <x:c r="E27" s="23"/>
      <x:c r="F27" s="23"/>
      <x:c r="G27" s="23"/>
      <x:c r="H27" s="23"/>
      <x:c r="I27" s="23"/>
      <x:c r="J27" s="23"/>
      <x:c r="K27" s="23"/>
      <x:c r="L27" s="23"/>
    </x:row>
    <x:row r="28">
      <x:c r="A28" s="23" t="str">
        <x:v>lis</x:v>
      </x:c>
      <x:c r="B28" s="44" t="n">
        <x:f>SUM(SUMIFS('Dziennik'!$H$4:$H$503,'Dziennik'!$E$4:$E$503,{"700","701","730","750","760"},'Dziennik'!$A$4:$A$503,"&gt;="&amp;DATE(YEAR($A$4),11,1),'Dziennik'!$A$4:$A$503,"&lt;="&amp;DATE(YEAR($A$4),12,0)))</x:f>
        <x:v>0</x:v>
      </x:c>
      <x:c r="C28" s="44" t="n">
        <x:f>SUM(SUMIFS('Dziennik'!$G$4:$G$503,'Dziennik'!$E$4:$E$503,{"400","401","402","403","404","405","409","751","761","870"},'Dziennik'!$A$4:$A$503,"&gt;="&amp;DATE(YEAR($A$4),11,1),'Dziennik'!$A$4:$A$503,"&lt;="&amp;DATE(YEAR($A$4),12,0)))</x:f>
        <x:v>0</x:v>
      </x:c>
      <x:c r="D28" s="23"/>
      <x:c r="E28" s="23"/>
      <x:c r="F28" s="23"/>
      <x:c r="G28" s="23"/>
      <x:c r="H28" s="23"/>
      <x:c r="I28" s="23"/>
      <x:c r="J28" s="23"/>
      <x:c r="K28" s="23"/>
      <x:c r="L28" s="23"/>
    </x:row>
    <x:row r="29">
      <x:c r="A29" s="23" t="str">
        <x:v>gru</x:v>
      </x:c>
      <x:c r="B29" s="44" t="n">
        <x:f>SUM(SUMIFS('Dziennik'!$H$4:$H$503,'Dziennik'!$E$4:$E$503,{"700","701","730","750","760"},'Dziennik'!$A$4:$A$503,"&gt;="&amp;DATE(YEAR($A$4),12,1),'Dziennik'!$A$4:$A$503,"&lt;="&amp;DATE(YEAR($A$4),13,0)))</x:f>
        <x:v>0</x:v>
      </x:c>
      <x:c r="C29" s="44" t="n">
        <x:f>SUM(SUMIFS('Dziennik'!$G$4:$G$503,'Dziennik'!$E$4:$E$503,{"400","401","402","403","404","405","409","751","761","870"},'Dziennik'!$A$4:$A$503,"&gt;="&amp;DATE(YEAR($A$4),12,1),'Dziennik'!$A$4:$A$503,"&lt;="&amp;DATE(YEAR($A$4),13,0)))</x:f>
        <x:v>0</x:v>
      </x:c>
      <x:c r="D29" s="23"/>
      <x:c r="E29" s="23"/>
      <x:c r="F29" s="23"/>
      <x:c r="G29" s="23"/>
      <x:c r="H29" s="23"/>
      <x:c r="I29" s="23"/>
      <x:c r="J29" s="23"/>
      <x:c r="K29" s="23"/>
      <x:c r="L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</x:row>
  </x:sheetData>
  <x:mergeCells>
    <x:mergeCell ref="A1:L1"/>
    <x:mergeCell ref="A14:D14"/>
  </x:mergeCells>
  <x:pageMargins left="0.7" right="0.7" top="0.75" bottom="0.75" header="0.3" footer="0.3"/>
  <x:drawing xmlns:r="http://schemas.openxmlformats.org/officeDocument/2006/relationships" r:id="Rb722b03d7dcf472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2" style="1" hidden="0" customWidth="1"/>
    <x:col min="2" max="2" width="20" style="1" hidden="0" customWidth="1"/>
    <x:col min="3" max="4" width="12" style="1" hidden="0" customWidth="1"/>
    <x:col min="5" max="5" width="15" style="1" hidden="0" customWidth="1"/>
    <x:col min="6" max="6" width="12" style="1" hidden="0" customWidth="1"/>
  </x:cols>
  <x:sheetData>
    <x:row r="1" ht="15" hidden="0" customHeight="1">
      <x:c r="A1" s="7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</x:row>
    <x:row r="2" ht="15" hidden="0" customHeight="1">
      <x:c r="A2" s="6" t="n">
        <x:v>1</x:v>
      </x:c>
      <x:c r="B2" s="7"/>
      <x:c r="C2" s="7"/>
      <x:c r="D2" s="7"/>
      <x:c r="E2" s="8"/>
      <x:c r="F2" s="9" t="n">
        <x:v>0.23</x:v>
      </x:c>
      <x:c r="G2" s="10" t="n">
        <x:f aca="0">E2*(1+F2)</x:f>
        <x:v>0</x:v>
      </x:c>
    </x:row>
    <x:row r="10" ht="15" hidden="0" customHeight="1">
      <x:c r="A10" s="11" t="s">
        <x:v>7</x:v>
      </x:c>
      <x:c r="G10" s="12" t="n">
        <x:f aca="0">SUM(G2:G9)</x:f>
        <x:v>0</x:v>
      </x:c>
    </x:row>
    <x:row r="12" ht="32" customHeight="1">
      <x:c r="A12" s="77" t="str">
        <x:v>REJESTR POMOCNICZY — wpisy nie księgują się automatycznie w Dzienniku.</x:v>
      </x:c>
      <x:c r="B12" s="77"/>
      <x:c r="C12" s="77"/>
      <x:c r="D12" s="77"/>
      <x:c r="E12" s="77"/>
      <x:c r="F12" s="77"/>
      <x:c r="G12" s="77"/>
      <x:c r="H12" s="77"/>
    </x:row>
  </x:sheetData>
  <x:mergeCells>
    <x:mergeCell ref="A12:H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2" style="1" hidden="0" customWidth="1"/>
    <x:col min="2" max="2" width="20" style="1" hidden="0" customWidth="1"/>
    <x:col min="3" max="3" width="12" style="1" hidden="0" customWidth="1"/>
    <x:col min="4" max="4" width="20" style="1" hidden="0" customWidth="1"/>
    <x:col min="5" max="5" width="15" style="1" hidden="0" customWidth="1"/>
    <x:col min="6" max="6" width="12" style="1" hidden="0" customWidth="1"/>
  </x:cols>
  <x:sheetData>
    <x:row r="1" ht="15" hidden="0" customHeight="1">
      <x:c r="A1" s="75" t="s">
        <x:v>0</x:v>
      </x:c>
      <x:c r="B1" s="5" t="s">
        <x:v>1</x:v>
      </x:c>
      <x:c r="C1" s="5" t="s">
        <x:v>2</x:v>
      </x:c>
      <x:c r="D1" s="5" t="s">
        <x:v>8</x:v>
      </x:c>
      <x:c r="E1" s="5" t="s">
        <x:v>4</x:v>
      </x:c>
      <x:c r="F1" s="5" t="s">
        <x:v>5</x:v>
      </x:c>
      <x:c r="G1" s="5" t="s">
        <x:v>6</x:v>
      </x:c>
    </x:row>
    <x:row r="2" ht="15" hidden="0" customHeight="1">
      <x:c r="A2" s="6" t="n">
        <x:v>1</x:v>
      </x:c>
      <x:c r="B2" s="7"/>
      <x:c r="C2" s="7"/>
      <x:c r="D2" s="7"/>
      <x:c r="E2" s="8"/>
      <x:c r="F2" s="9" t="n">
        <x:v>0.23</x:v>
      </x:c>
      <x:c r="G2" s="10" t="n">
        <x:f aca="0">E2*(1+F2)</x:f>
        <x:v>0</x:v>
      </x:c>
    </x:row>
    <x:row r="10" ht="15" hidden="0" customHeight="1">
      <x:c r="A10" s="11" t="s">
        <x:v>7</x:v>
      </x:c>
      <x:c r="G10" s="12" t="n">
        <x:f aca="0">SUM(G2:G9)</x:f>
        <x:v>0</x:v>
      </x:c>
    </x:row>
    <x:row r="12" ht="32" customHeight="1">
      <x:c r="A12" s="77" t="str">
        <x:v>REJESTR POMOCNICZY — wpisy nie księgują się automatycznie w Dzienniku.</x:v>
      </x:c>
      <x:c r="B12" s="77"/>
      <x:c r="C12" s="77"/>
      <x:c r="D12" s="77"/>
      <x:c r="E12" s="77"/>
      <x:c r="F12" s="77"/>
      <x:c r="G12" s="77"/>
      <x:c r="H12" s="77"/>
    </x:row>
  </x:sheetData>
  <x:mergeCells>
    <x:mergeCell ref="A12:H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2" style="1" hidden="0" customWidth="1"/>
    <x:col min="2" max="2" width="20" style="1" hidden="0" customWidth="1"/>
    <x:col min="3" max="5" width="15" style="1" hidden="0" customWidth="1"/>
  </x:cols>
  <x:sheetData>
    <x:row r="1" ht="15" hidden="0" customHeight="1">
      <x:c r="A1" s="75" t="s">
        <x:v>0</x:v>
      </x:c>
      <x:c r="B1" s="5" t="s">
        <x:v>1</x:v>
      </x:c>
      <x:c r="C1" s="5" t="s">
        <x:v>9</x:v>
      </x:c>
      <x:c r="D1" s="5" t="s">
        <x:v>10</x:v>
      </x:c>
      <x:c r="E1" s="5" t="s">
        <x:v>11</x:v>
      </x:c>
      <x:c r="F1" s="5" t="s">
        <x:v>12</x:v>
      </x:c>
    </x:row>
    <x:row r="2" ht="15" hidden="0" customHeight="1">
      <x:c r="A2" s="1" t="s">
        <x:v>13</x:v>
      </x:c>
      <x:c r="B2" s="1" t="s">
        <x:v>14</x:v>
      </x:c>
      <x:c r="E2" s="13" t="n">
        <x:v>0</x:v>
      </x:c>
      <x:c r="F2" s="13" t="n">
        <x:v>0</x:v>
      </x:c>
    </x:row>
    <x:row r="12" ht="32" customHeight="1">
      <x:c r="A12" s="77" t="str">
        <x:v>REJESTR POMOCNICZY — uzgodnij z kontami 100/130 w Dzienniku.</x:v>
      </x:c>
      <x:c r="B12" s="77"/>
      <x:c r="C12" s="77"/>
      <x:c r="D12" s="77"/>
      <x:c r="E12" s="77"/>
      <x:c r="F12" s="77"/>
      <x:c r="G12" s="77"/>
      <x:c r="H12" s="77"/>
    </x:row>
    <x:row r="20" ht="15" hidden="0" customHeight="1">
      <x:c r="A20" s="11" t="s">
        <x:v>7</x:v>
      </x:c>
      <x:c r="D20" s="14" t="n">
        <x:f aca="0">SUM(D2:D19)</x:f>
        <x:v>0</x:v>
      </x:c>
      <x:c r="E20" s="14" t="n">
        <x:f aca="0">SUM(E2:E19)</x:f>
        <x:v>0</x:v>
      </x:c>
      <x:c r="F20" s="14" t="n">
        <x:f aca="0">F19</x:f>
        <x:v>0</x:v>
      </x:c>
    </x:row>
  </x:sheetData>
  <x:mergeCells>
    <x:mergeCell ref="A12:H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2" style="1" hidden="0" customWidth="1"/>
    <x:col min="2" max="3" width="20" style="1" hidden="0" customWidth="1"/>
    <x:col min="4" max="4" width="15" style="1" hidden="0" customWidth="1"/>
    <x:col min="5" max="5" width="12" style="1" hidden="0" customWidth="1"/>
  </x:cols>
  <x:sheetData>
    <x:row r="1" ht="15" hidden="0" customHeight="1">
      <x:c r="A1" s="75" t="s">
        <x:v>0</x:v>
      </x:c>
      <x:c r="B1" s="5" t="s">
        <x:v>1</x:v>
      </x:c>
      <x:c r="C1" s="5" t="s">
        <x:v>15</x:v>
      </x:c>
      <x:c r="D1" s="5" t="s">
        <x:v>9</x:v>
      </x:c>
      <x:c r="E1" s="5" t="s">
        <x:v>16</x:v>
      </x:c>
    </x:row>
    <x:row r="2" ht="15" hidden="0" customHeight="1">
      <x:c r="A2" s="1" t="n">
        <x:v>1</x:v>
      </x:c>
      <x:c r="C2" s="15" t="s">
        <x:v>17</x:v>
      </x:c>
      <x:c r="D2" s="15"/>
      <x:c r="E2" s="16"/>
    </x:row>
    <x:row r="3" ht="15" hidden="0" customHeight="1">
      <x:c r="A3" s="1" t="n">
        <x:v>2</x:v>
      </x:c>
      <x:c r="C3" s="15" t="s">
        <x:v>18</x:v>
      </x:c>
      <x:c r="D3" s="15"/>
      <x:c r="E3" s="16"/>
    </x:row>
    <x:row r="4" ht="15" hidden="0" customHeight="1">
      <x:c r="A4" s="1" t="n">
        <x:v>3</x:v>
      </x:c>
      <x:c r="C4" s="15" t="s">
        <x:v>19</x:v>
      </x:c>
      <x:c r="D4" s="15"/>
      <x:c r="E4" s="16"/>
    </x:row>
    <x:row r="5" ht="15" hidden="0" customHeight="1">
      <x:c r="A5" s="1" t="n">
        <x:v>4</x:v>
      </x:c>
      <x:c r="C5" s="15" t="s">
        <x:v>20</x:v>
      </x:c>
      <x:c r="D5" s="15"/>
      <x:c r="E5" s="16"/>
    </x:row>
    <x:row r="6" ht="15" hidden="0" customHeight="1">
      <x:c r="A6" s="1" t="n">
        <x:v>5</x:v>
      </x:c>
      <x:c r="C6" s="15" t="s">
        <x:v>21</x:v>
      </x:c>
      <x:c r="D6" s="15"/>
      <x:c r="E6" s="16"/>
    </x:row>
    <x:row r="7" ht="15" hidden="0" customHeight="1">
      <x:c r="A7" s="1" t="n">
        <x:v>6</x:v>
      </x:c>
      <x:c r="C7" s="15" t="s">
        <x:v>22</x:v>
      </x:c>
      <x:c r="D7" s="15"/>
      <x:c r="E7" s="16"/>
    </x:row>
    <x:row r="10" ht="15" hidden="0" customHeight="1">
      <x:c r="D10" s="11" t="s">
        <x:v>7</x:v>
      </x:c>
      <x:c r="E10" s="17" t="n">
        <x:f aca="0">SUM(E2:E9)</x:f>
        <x:v>0</x:v>
      </x:c>
    </x:row>
    <x:row r="12" ht="32" customHeight="1">
      <x:c r="A12" s="77" t="str">
        <x:v>REJESTR POMOCNICZY — nie jest księgą kosztów ani źródłem RZiS.</x:v>
      </x:c>
      <x:c r="B12" s="77"/>
      <x:c r="C12" s="77"/>
      <x:c r="D12" s="77"/>
      <x:c r="E12" s="77"/>
      <x:c r="F12" s="77"/>
      <x:c r="G12" s="77"/>
      <x:c r="H12" s="77"/>
    </x:row>
  </x:sheetData>
  <x:mergeCells>
    <x:mergeCell ref="A12:H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0" style="1" hidden="0" customWidth="1"/>
    <x:col min="2" max="2" width="18" style="1" hidden="0" customWidth="1"/>
  </x:cols>
  <x:sheetData>
    <x:row r="1" ht="17.25" hidden="0" customHeight="1">
      <x:c r="A1" s="79" t="s">
        <x:v>23</x:v>
      </x:c>
    </x:row>
    <x:row r="2" ht="15" hidden="0">
      <x:c r="A2" s="1" t="s">
        <x:v>24</x:v>
      </x:c>
      <x:c r="B2" s="1" t="n">
        <x:f aca="0">IFERROR('Faktury sprzedaży'!G10/1.23,0)</x:f>
        <x:v>0</x:v>
      </x:c>
    </x:row>
    <x:row r="3" ht="15" hidden="0" customHeight="1">
      <x:c r="A3" s="3" t="s">
        <x:v>25</x:v>
      </x:c>
      <x:c r="B3" s="4" t="n">
        <x:f aca="0">IFERROR('Faktury sprzedaży'!G10-B2,0)</x:f>
        <x:v>0</x:v>
      </x:c>
    </x:row>
    <x:row r="4" ht="15" hidden="0" customHeight="1">
      <x:c r="A4" s="3"/>
      <x:c r="B4" s="4"/>
    </x:row>
    <x:row r="5" ht="15" hidden="0" customHeight="1">
      <x:c r="A5" s="3"/>
      <x:c r="B5" s="4"/>
    </x:row>
    <x:row r="6" ht="15" hidden="0" customHeight="1">
      <x:c r="A6" s="3"/>
      <x:c r="B6" s="4"/>
    </x:row>
    <x:row r="7" ht="15" hidden="0" customHeight="1">
      <x:c r="A7" s="3"/>
      <x:c r="B7" s="4"/>
    </x:row>
    <x:row r="12" ht="32" customHeight="1">
      <x:c r="A12" s="77" t="str">
        <x:v>PODGLĄD SZABLONU — nie jest deklaracją ani ewidencją JPK_V7.</x:v>
      </x:c>
      <x:c r="B12" s="77"/>
      <x:c r="C12" s="77"/>
      <x:c r="D12" s="77"/>
      <x:c r="E12" s="77"/>
      <x:c r="F12" s="77"/>
      <x:c r="G12" s="77"/>
      <x:c r="H12" s="77"/>
    </x:row>
  </x:sheetData>
  <x:mergeCells>
    <x:mergeCell ref="A12:H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777777"/>
  </x:sheetPr>
  <x:sheetViews>
    <x:sheetView showGridLines="1" workbookViewId="0"/>
  </x:sheetViews>
  <x:sheetFormatPr defaultColWidth="8.6796875" defaultRowHeight="15"/>
  <x:cols>
    <x:col min="1" max="1" width="120" style="1" hidden="0" customWidth="1"/>
  </x:cols>
  <x:sheetData>
    <x:row r="1" ht="30" hidden="0" customHeight="1">
      <x:c r="A1" s="82" t="str">
        <x:v>INSTRUKCJA — KSIĘGI RACHUNKOWE</x:v>
      </x:c>
    </x:row>
    <x:row r="2" ht="30" hidden="0" customHeight="1">
      <x:c r="A2" s="83" t="str"/>
    </x:row>
    <x:row r="3" ht="30" hidden="0" customHeight="1">
      <x:c r="A3" s="83" t="str">
        <x:v>1. USTAWIENIA I PLAN KONT</x:v>
      </x:c>
    </x:row>
    <x:row r="4" ht="30" hidden="0" customHeight="1">
      <x:c r="A4" s="83" t="str">
        <x:v>Uzupełnij dane jednostki i okres. Zweryfikuj konta oraz pozycje sprawozdawcze z polityką rachunkowości.</x:v>
      </x:c>
    </x:row>
    <x:row r="5" ht="30" hidden="0" customHeight="1">
      <x:c r="A5" s="83" t="str"/>
    </x:row>
    <x:row r="6" ht="30" hidden="0" customHeight="1">
      <x:c r="A6" s="83" t="str">
        <x:v>2. DZIENNIK</x:v>
      </x:c>
    </x:row>
    <x:row r="7" ht="30" hidden="0" customHeight="1">
      <x:c r="A7" s="83" t="str">
        <x:v>Wpisz każdy zapis jako osobny wiersz WN lub MA. Jedno ID dekretu łączy wszystkie zapisy jednej operacji; suma WN ma być równa sumie MA. Używaj tego samego ID w każdym wierszu dekretu.</x:v>
      </x:c>
    </x:row>
    <x:row r="8" ht="30" hidden="0" customHeight="1">
      <x:c r="A8" s="83" t="str">
        <x:v>Wartości edytowalne są oznaczone jasnym żółtym kolorem. Konto wybieraj z listy. Nie usuwaj wierszy z formułami.</x:v>
      </x:c>
    </x:row>
    <x:row r="9" ht="30" hidden="0" customHeight="1">
      <x:c r="A9" s="83" t="str"/>
    </x:row>
    <x:row r="10" ht="30" hidden="0" customHeight="1">
      <x:c r="A10" s="83" t="str">
        <x:v>3. KONTROLE I RAPORTY</x:v>
      </x:c>
    </x:row>
    <x:row r="11" ht="30" hidden="0" customHeight="1">
      <x:c r="A11" s="83" t="str">
        <x:v>Sprawdź status dekretów na Dashboardzie, zestawienie obrotów i sald, bilans oraz rachunek wyników. Kontrola arkusza nie potwierdza kompletności ani prawidłowości merytorycznej zapisów.</x:v>
      </x:c>
    </x:row>
    <x:row r="12" ht="30" hidden="0" customHeight="1">
      <x:c r="A12" s="83" t="str"/>
    </x:row>
    <x:row r="13" ht="30" hidden="0" customHeight="1">
      <x:c r="A13" s="83" t="str">
        <x:v>4. STARE ARKUSZE SZABLONU</x:v>
      </x:c>
    </x:row>
    <x:row r="14" ht="30" hidden="0" customHeight="1">
      <x:c r="A14" s="83" t="str">
        <x:v>Rejestry faktur, banku i wydatków zachowano jako pomocnicze. Nie są automatycznie księgowane; źródłem sald i raportów jest wyłącznie arkusz Dziennik.</x:v>
      </x:c>
    </x:row>
    <x:row r="15" ht="30" hidden="0" customHeight="1">
      <x:c r="A15" s="83" t="str"/>
    </x:row>
    <x:row r="16" ht="30" hidden="0" customHeight="1">
      <x:c r="A16" s="85" t="str">
        <x:v>OGRANICZENIA PRAWNE I TECHNICZNE</x:v>
      </x:c>
    </x:row>
    <x:row r="17" ht="30" hidden="0" customHeight="1">
      <x:c r="A17" s="83" t="str">
        <x:v>To wzorcowy skoroszyt pomocniczy, nie certyfikowany system finansowo-księgowy. Nie generuje e-sprawozdań, JPK_KR_PD, JPK_V7, deklaracji podatkowych ani podpisów.</x:v>
      </x:c>
    </x:row>
    <x:row r="18" ht="30" hidden="0" customHeight="1">
      <x:c r="A18" s="83" t="str">
        <x:v>Wymagane jest dostosowanie do jednostki, aktualnych przepisów, planu kont, zasad wyceny, inwentaryzacji, zamknięcia roku i kontroli przez księgowego.</x:v>
      </x:c>
    </x:row>
    <x:row r="19" ht="30" hidden="0" customHeight="1">
      <x:c r="A19" s="83" t="str">
        <x:v>Nie wpisuj rzeczywistych danych bez oceny bezpieczeństwa, kopii zapasowej oraz zatwierdzenia dostępu.</x:v>
      </x:c>
    </x:row>
    <x:row r="20" ht="15" hidden="0" customHeight="1">
      <x:c r="A20"/>
    </x:row>
    <x:row r="21" ht="15" hidden="0" customHeight="1">
      <x:c r="A21"/>
    </x:row>
    <x:row r="22" ht="15" hidden="0" customHeight="1">
      <x:c r="A22"/>
    </x:row>
    <x:row r="23" ht="15" hidden="0" customHeight="1">
      <x:c r="A23"/>
    </x:row>
    <x:row r="24" ht="15" hidden="0" customHeight="1">
      <x:c r="A24"/>
    </x:row>
    <x:row r="25" ht="15" hidden="0" customHeight="1">
      <x:c r="A25"/>
    </x:row>
    <x:row r="26" ht="15" hidden="0" customHeight="1">
      <x:c r="A2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C9A22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34" hidden="0" customWidth="1"/>
    <x:col min="3" max="3" width="20" hidden="0" customWidth="1"/>
    <x:col min="4" max="4" width="20" hidden="0" customWidth="1"/>
  </x:cols>
  <x:sheetData>
    <x:row r="1" ht="30" customHeight="1">
      <x:c r="A1" s="26" t="str">
        <x:v>USTAWIENIA JEDNOSTKI I OKRESU</x:v>
      </x:c>
      <x:c r="B1" s="26"/>
      <x:c r="C1" s="26"/>
      <x:c r="D1" s="26"/>
    </x:row>
    <x:row r="2">
      <x:c r="A2" s="23"/>
      <x:c r="B2" s="23"/>
      <x:c r="C2" s="23"/>
      <x:c r="D2" s="23"/>
    </x:row>
    <x:row r="3" ht="32" customHeight="1">
      <x:c r="A3" s="31" t="str">
        <x:v>Pole</x:v>
      </x:c>
      <x:c r="B3" s="31" t="str">
        <x:v>Wartość</x:v>
      </x:c>
      <x:c r="C3" s="23"/>
      <x:c r="D3" s="23"/>
    </x:row>
    <x:row r="4">
      <x:c r="A4" s="23" t="str">
        <x:v>Nazwa jednostki</x:v>
      </x:c>
      <x:c r="B4" s="32" t="str">
        <x:v>WPROWADŹ NAZWĘ</x:v>
      </x:c>
      <x:c r="C4" s="23"/>
      <x:c r="D4" s="23"/>
    </x:row>
    <x:row r="5">
      <x:c r="A5" s="23" t="str">
        <x:v>NIP</x:v>
      </x:c>
      <x:c r="B5" s="32" t="str"/>
      <x:c r="C5" s="23"/>
      <x:c r="D5" s="23"/>
    </x:row>
    <x:row r="6">
      <x:c r="A6" s="23" t="str">
        <x:v>REGON</x:v>
      </x:c>
      <x:c r="B6" s="32" t="str"/>
      <x:c r="C6" s="23"/>
      <x:c r="D6" s="23"/>
    </x:row>
    <x:row r="7">
      <x:c r="A7" s="23" t="str">
        <x:v>Rok obrotowy od</x:v>
      </x:c>
      <x:c r="B7" s="33" t="n">
        <x:v>46023</x:v>
      </x:c>
      <x:c r="C7" s="23"/>
      <x:c r="D7" s="23"/>
    </x:row>
    <x:row r="8">
      <x:c r="A8" s="23" t="str">
        <x:v>Rok obrotowy do</x:v>
      </x:c>
      <x:c r="B8" s="33" t="n">
        <x:v>46387</x:v>
      </x:c>
      <x:c r="C8" s="23"/>
      <x:c r="D8" s="23"/>
    </x:row>
    <x:row r="9">
      <x:c r="A9" s="23" t="str">
        <x:v>Waluta</x:v>
      </x:c>
      <x:c r="B9" s="32" t="str">
        <x:v>PLN</x:v>
      </x:c>
      <x:c r="C9" s="23"/>
      <x:c r="D9" s="23"/>
    </x:row>
    <x:row r="10">
      <x:c r="A10" s="23" t="str">
        <x:v>Status pliku</x:v>
      </x:c>
      <x:c r="B10" s="32" t="str">
        <x:v>SZABLON — uzupełnij i zweryfikuj</x:v>
      </x:c>
      <x:c r="C10" s="23"/>
      <x:c r="D10" s="23"/>
    </x:row>
    <x:row r="11">
      <x:c r="A11" s="23"/>
      <x:c r="B11" s="23"/>
      <x:c r="C11" s="23"/>
      <x:c r="D11" s="23"/>
    </x:row>
    <x:row r="12">
      <x:c r="A12" s="35" t="str">
        <x:v>ZAKRES I WAŻNE OGRANICZENIA</x:v>
      </x:c>
      <x:c r="B12" s="35" t="str"/>
      <x:c r="C12" s="35" t="str"/>
      <x:c r="D12" s="35" t="str"/>
    </x:row>
    <x:row r="13">
      <x:c r="A13" s="36" t="str">
        <x:v>Model ksiąg dwustronnych: każda operacja ujmowana jest w Dzienniku na kontach WN/MA.</x:v>
      </x:c>
      <x:c r="B13" s="36" t="str"/>
      <x:c r="C13" s="36" t="str"/>
      <x:c r="D13" s="36" t="str"/>
    </x:row>
    <x:row r="14">
      <x:c r="A14" s="36" t="str">
        <x:v>Plan kont i mapowanie sprawozdawcze to przykładowy punkt startowy; dostosuj do polityki rachunkowości jednostki.</x:v>
      </x:c>
      <x:c r="B14" s="36" t="str"/>
      <x:c r="C14" s="36" t="str"/>
      <x:c r="D14" s="36" t="str"/>
    </x:row>
    <x:row r="15">
      <x:c r="A15" s="36" t="str">
        <x:v>Arkusz nie generuje podpisanych sprawozdań ani plików JPK i nie zastępuje systemu finansowo-księgowego.</x:v>
      </x:c>
      <x:c r="B15" s="36" t="str"/>
      <x:c r="C15" s="36" t="str"/>
      <x:c r="D15" s="36" t="str"/>
    </x:row>
    <x:row r="16">
      <x:c r="A16" s="36" t="str">
        <x:v>Przed użyciem produkcyjnym wymagane są testy, zatwierdzenie polityki rachunkowości i kontrola księgowego.</x:v>
      </x:c>
      <x:c r="B16" s="36" t="str"/>
      <x:c r="C16" s="36" t="str"/>
      <x:c r="D16" s="36" t="str"/>
    </x:row>
    <x:row r="17">
      <x:c r="A17" s="23"/>
      <x:c r="B17" s="23"/>
      <x:c r="C17" s="23"/>
      <x:c r="D17" s="23"/>
    </x:row>
    <x:row r="18">
      <x:c r="A18" s="23"/>
      <x:c r="B18" s="23"/>
      <x:c r="C18" s="23"/>
      <x:c r="D18" s="23"/>
    </x:row>
    <x:row r="19">
      <x:c r="A19" s="23"/>
      <x:c r="B19" s="23"/>
      <x:c r="C19" s="23"/>
      <x:c r="D19" s="23"/>
    </x:row>
    <x:row r="20">
      <x:c r="A20" s="23"/>
      <x:c r="B20" s="23"/>
      <x:c r="C20" s="23"/>
      <x:c r="D20" s="23"/>
    </x:row>
    <x:row r="21">
      <x:c r="A21" s="23"/>
      <x:c r="B21" s="23"/>
      <x:c r="C21" s="23"/>
      <x:c r="D21" s="23"/>
    </x:row>
    <x:row r="22">
      <x:c r="A22" s="23"/>
      <x:c r="B22" s="23"/>
      <x:c r="C22" s="23"/>
      <x:c r="D22" s="23"/>
    </x:row>
    <x:row r="23">
      <x:c r="A23" s="23"/>
      <x:c r="B23" s="23"/>
      <x:c r="C23" s="23"/>
      <x:c r="D23" s="23"/>
    </x:row>
    <x:row r="24">
      <x:c r="A24" s="23"/>
      <x:c r="B24" s="23"/>
      <x:c r="C24" s="23"/>
      <x:c r="D24" s="23"/>
    </x:row>
    <x:row r="25">
      <x:c r="A25" s="23"/>
      <x:c r="B25" s="23"/>
      <x:c r="C25" s="23"/>
      <x:c r="D25" s="23"/>
    </x:row>
    <x:row r="26">
      <x:c r="A26" s="23"/>
      <x:c r="B26" s="23"/>
      <x:c r="C26" s="23"/>
      <x:c r="D26" s="23"/>
    </x:row>
    <x:row r="27">
      <x:c r="A27" s="23"/>
      <x:c r="B27" s="23"/>
      <x:c r="C27" s="23"/>
      <x:c r="D27" s="23"/>
    </x:row>
    <x:row r="28">
      <x:c r="A28" s="23"/>
      <x:c r="B28" s="23"/>
      <x:c r="C28" s="23"/>
      <x:c r="D28" s="23"/>
    </x:row>
    <x:row r="29">
      <x:c r="A29" s="23"/>
      <x:c r="B29" s="23"/>
      <x:c r="C29" s="23"/>
      <x:c r="D29" s="23"/>
    </x:row>
    <x:row r="30">
      <x:c r="A30" s="23"/>
      <x:c r="B30" s="23"/>
      <x:c r="C30" s="23"/>
      <x:c r="D30" s="23"/>
    </x:row>
  </x:sheetData>
  <x:mergeCells>
    <x:mergeCell ref="A1:D1"/>
    <x:mergeCell ref="A12:D12"/>
    <x:mergeCell ref="A13:D13"/>
    <x:mergeCell ref="A14:D14"/>
    <x:mergeCell ref="A15:D15"/>
    <x:mergeCell ref="A16:D1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B7A46A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48" hidden="0" customWidth="1"/>
    <x:col min="3" max="3" width="18" hidden="0" customWidth="1"/>
    <x:col min="4" max="4" width="18" hidden="0" customWidth="1"/>
    <x:col min="5" max="5" width="40" hidden="0" customWidth="1"/>
  </x:cols>
  <x:sheetData>
    <x:row r="1" ht="30" customHeight="1">
      <x:c r="A1" s="26" t="str">
        <x:v>PLAN KONT — WZORCOWY, DO DOSTOSOWANIA</x:v>
      </x:c>
      <x:c r="B1" s="26"/>
      <x:c r="C1" s="26"/>
      <x:c r="D1" s="26"/>
      <x:c r="E1" s="26"/>
    </x:row>
    <x:row r="2">
      <x:c r="A2" s="23"/>
      <x:c r="B2" s="23"/>
      <x:c r="C2" s="23"/>
      <x:c r="D2" s="23"/>
      <x:c r="E2" s="23"/>
    </x:row>
    <x:row r="3" ht="32" customHeight="1">
      <x:c r="A3" s="31" t="str">
        <x:v>Numer konta</x:v>
      </x:c>
      <x:c r="B3" s="31" t="str">
        <x:v>Nazwa konta</x:v>
      </x:c>
      <x:c r="C3" s="31" t="str">
        <x:v>Typ</x:v>
      </x:c>
      <x:c r="D3" s="31" t="str">
        <x:v>Saldo normalne</x:v>
      </x:c>
      <x:c r="E3" s="31" t="str">
        <x:v>Pozycja bilansu / RZiS</x:v>
      </x:c>
    </x:row>
    <x:row r="4">
      <x:c r="A4" s="32" t="str">
        <x:v>010</x:v>
      </x:c>
      <x:c r="B4" s="32" t="str">
        <x:v>Środki trwałe</x:v>
      </x:c>
      <x:c r="C4" s="32" t="str">
        <x:v>Bilans</x:v>
      </x:c>
      <x:c r="D4" s="32" t="str">
        <x:v>WN</x:v>
      </x:c>
      <x:c r="E4" s="32" t="str">
        <x:v>Aktywa trwałe</x:v>
      </x:c>
    </x:row>
    <x:row r="5">
      <x:c r="A5" s="32" t="str">
        <x:v>070</x:v>
      </x:c>
      <x:c r="B5" s="32" t="str">
        <x:v>Umorzenie środków trwałych</x:v>
      </x:c>
      <x:c r="C5" s="32" t="str">
        <x:v>Bilans</x:v>
      </x:c>
      <x:c r="D5" s="32" t="str">
        <x:v>MA</x:v>
      </x:c>
      <x:c r="E5" s="32" t="str">
        <x:v>Aktywa trwałe – umorzenie</x:v>
      </x:c>
    </x:row>
    <x:row r="6">
      <x:c r="A6" s="32" t="str">
        <x:v>100</x:v>
      </x:c>
      <x:c r="B6" s="32" t="str">
        <x:v>Kasa PLN</x:v>
      </x:c>
      <x:c r="C6" s="32" t="str">
        <x:v>Bilans</x:v>
      </x:c>
      <x:c r="D6" s="32" t="str">
        <x:v>WN</x:v>
      </x:c>
      <x:c r="E6" s="32" t="str">
        <x:v>Środki pieniężne</x:v>
      </x:c>
    </x:row>
    <x:row r="7">
      <x:c r="A7" s="32" t="str">
        <x:v>130</x:v>
      </x:c>
      <x:c r="B7" s="32" t="str">
        <x:v>Rachunek bankowy PLN</x:v>
      </x:c>
      <x:c r="C7" s="32" t="str">
        <x:v>Bilans</x:v>
      </x:c>
      <x:c r="D7" s="32" t="str">
        <x:v>WN</x:v>
      </x:c>
      <x:c r="E7" s="32" t="str">
        <x:v>Środki pieniężne</x:v>
      </x:c>
    </x:row>
    <x:row r="8">
      <x:c r="A8" s="32" t="str">
        <x:v>201</x:v>
      </x:c>
      <x:c r="B8" s="32" t="str">
        <x:v>Należności od odbiorców</x:v>
      </x:c>
      <x:c r="C8" s="32" t="str">
        <x:v>Bilans</x:v>
      </x:c>
      <x:c r="D8" s="32" t="str">
        <x:v>WN</x:v>
      </x:c>
      <x:c r="E8" s="32" t="str">
        <x:v>Należności krótkoterminowe</x:v>
      </x:c>
    </x:row>
    <x:row r="9">
      <x:c r="A9" s="32" t="str">
        <x:v>202</x:v>
      </x:c>
      <x:c r="B9" s="32" t="str">
        <x:v>Zobowiązania wobec dostawców</x:v>
      </x:c>
      <x:c r="C9" s="32" t="str">
        <x:v>Bilans</x:v>
      </x:c>
      <x:c r="D9" s="32" t="str">
        <x:v>MA</x:v>
      </x:c>
      <x:c r="E9" s="32" t="str">
        <x:v>Zobowiązania krótkoterminowe</x:v>
      </x:c>
    </x:row>
    <x:row r="10">
      <x:c r="A10" s="32" t="str">
        <x:v>221</x:v>
      </x:c>
      <x:c r="B10" s="32" t="str">
        <x:v>VAT naliczony</x:v>
      </x:c>
      <x:c r="C10" s="32" t="str">
        <x:v>Bilans</x:v>
      </x:c>
      <x:c r="D10" s="32" t="str">
        <x:v>WN</x:v>
      </x:c>
      <x:c r="E10" s="32" t="str">
        <x:v>Rozrachunki publicznoprawne</x:v>
      </x:c>
    </x:row>
    <x:row r="11">
      <x:c r="A11" s="32" t="str">
        <x:v>222</x:v>
      </x:c>
      <x:c r="B11" s="32" t="str">
        <x:v>VAT należny</x:v>
      </x:c>
      <x:c r="C11" s="32" t="str">
        <x:v>Bilans</x:v>
      </x:c>
      <x:c r="D11" s="32" t="str">
        <x:v>MA</x:v>
      </x:c>
      <x:c r="E11" s="32" t="str">
        <x:v>Rozrachunki publicznoprawne</x:v>
      </x:c>
    </x:row>
    <x:row r="12">
      <x:c r="A12" s="32" t="str">
        <x:v>231</x:v>
      </x:c>
      <x:c r="B12" s="32" t="str">
        <x:v>Rozrachunki z tytułu wynagrodzeń</x:v>
      </x:c>
      <x:c r="C12" s="32" t="str">
        <x:v>Bilans</x:v>
      </x:c>
      <x:c r="D12" s="32" t="str">
        <x:v>MA</x:v>
      </x:c>
      <x:c r="E12" s="32" t="str">
        <x:v>Zobowiązania krótkoterminowe</x:v>
      </x:c>
    </x:row>
    <x:row r="13">
      <x:c r="A13" s="32" t="str">
        <x:v>240</x:v>
      </x:c>
      <x:c r="B13" s="32" t="str">
        <x:v>Pozostałe rozrachunki</x:v>
      </x:c>
      <x:c r="C13" s="32" t="str">
        <x:v>Bilans</x:v>
      </x:c>
      <x:c r="D13" s="32" t="str">
        <x:v>WN</x:v>
      </x:c>
      <x:c r="E13" s="32" t="str">
        <x:v>Pozostałe rozrachunki</x:v>
      </x:c>
    </x:row>
    <x:row r="14">
      <x:c r="A14" s="32" t="str">
        <x:v>300</x:v>
      </x:c>
      <x:c r="B14" s="32" t="str">
        <x:v>Rozliczenie zakupu</x:v>
      </x:c>
      <x:c r="C14" s="32" t="str">
        <x:v>Bilans</x:v>
      </x:c>
      <x:c r="D14" s="32" t="str">
        <x:v>WN</x:v>
      </x:c>
      <x:c r="E14" s="32" t="str">
        <x:v>Zapasy i rozliczenia</x:v>
      </x:c>
    </x:row>
    <x:row r="15">
      <x:c r="A15" s="32" t="str">
        <x:v>310</x:v>
      </x:c>
      <x:c r="B15" s="32" t="str">
        <x:v>Materiały i towary</x:v>
      </x:c>
      <x:c r="C15" s="32" t="str">
        <x:v>Bilans</x:v>
      </x:c>
      <x:c r="D15" s="32" t="str">
        <x:v>WN</x:v>
      </x:c>
      <x:c r="E15" s="32" t="str">
        <x:v>Zapasy i rozliczenia</x:v>
      </x:c>
    </x:row>
    <x:row r="16">
      <x:c r="A16" s="32" t="str">
        <x:v>400</x:v>
      </x:c>
      <x:c r="B16" s="32" t="str">
        <x:v>Amortyzacja</x:v>
      </x:c>
      <x:c r="C16" s="32" t="str">
        <x:v>Wynik</x:v>
      </x:c>
      <x:c r="D16" s="32" t="str">
        <x:v>WN</x:v>
      </x:c>
      <x:c r="E16" s="32" t="str">
        <x:v>Koszty działalności operacyjnej</x:v>
      </x:c>
    </x:row>
    <x:row r="17">
      <x:c r="A17" s="32" t="str">
        <x:v>401</x:v>
      </x:c>
      <x:c r="B17" s="32" t="str">
        <x:v>Zużycie materiałów i energii</x:v>
      </x:c>
      <x:c r="C17" s="32" t="str">
        <x:v>Wynik</x:v>
      </x:c>
      <x:c r="D17" s="32" t="str">
        <x:v>WN</x:v>
      </x:c>
      <x:c r="E17" s="32" t="str">
        <x:v>Koszty działalności operacyjnej</x:v>
      </x:c>
    </x:row>
    <x:row r="18">
      <x:c r="A18" s="32" t="str">
        <x:v>402</x:v>
      </x:c>
      <x:c r="B18" s="32" t="str">
        <x:v>Usługi obce</x:v>
      </x:c>
      <x:c r="C18" s="32" t="str">
        <x:v>Wynik</x:v>
      </x:c>
      <x:c r="D18" s="32" t="str">
        <x:v>WN</x:v>
      </x:c>
      <x:c r="E18" s="32" t="str">
        <x:v>Koszty działalności operacyjnej</x:v>
      </x:c>
    </x:row>
    <x:row r="19">
      <x:c r="A19" s="32" t="str">
        <x:v>403</x:v>
      </x:c>
      <x:c r="B19" s="32" t="str">
        <x:v>Podatki i opłaty</x:v>
      </x:c>
      <x:c r="C19" s="32" t="str">
        <x:v>Wynik</x:v>
      </x:c>
      <x:c r="D19" s="32" t="str">
        <x:v>WN</x:v>
      </x:c>
      <x:c r="E19" s="32" t="str">
        <x:v>Koszty działalności operacyjnej</x:v>
      </x:c>
    </x:row>
    <x:row r="20">
      <x:c r="A20" s="32" t="str">
        <x:v>404</x:v>
      </x:c>
      <x:c r="B20" s="32" t="str">
        <x:v>Wynagrodzenia</x:v>
      </x:c>
      <x:c r="C20" s="32" t="str">
        <x:v>Wynik</x:v>
      </x:c>
      <x:c r="D20" s="32" t="str">
        <x:v>WN</x:v>
      </x:c>
      <x:c r="E20" s="32" t="str">
        <x:v>Koszty działalności operacyjnej</x:v>
      </x:c>
    </x:row>
    <x:row r="21">
      <x:c r="A21" s="32" t="str">
        <x:v>405</x:v>
      </x:c>
      <x:c r="B21" s="32" t="str">
        <x:v>Ubezpieczenia społeczne i inne świadczenia</x:v>
      </x:c>
      <x:c r="C21" s="32" t="str">
        <x:v>Wynik</x:v>
      </x:c>
      <x:c r="D21" s="32" t="str">
        <x:v>WN</x:v>
      </x:c>
      <x:c r="E21" s="32" t="str">
        <x:v>Koszty działalności operacyjnej</x:v>
      </x:c>
    </x:row>
    <x:row r="22">
      <x:c r="A22" s="32" t="str">
        <x:v>409</x:v>
      </x:c>
      <x:c r="B22" s="32" t="str">
        <x:v>Pozostałe koszty rodzajowe</x:v>
      </x:c>
      <x:c r="C22" s="32" t="str">
        <x:v>Wynik</x:v>
      </x:c>
      <x:c r="D22" s="32" t="str">
        <x:v>WN</x:v>
      </x:c>
      <x:c r="E22" s="32" t="str">
        <x:v>Koszty działalności operacyjnej</x:v>
      </x:c>
    </x:row>
    <x:row r="23">
      <x:c r="A23" s="32" t="str">
        <x:v>490</x:v>
      </x:c>
      <x:c r="B23" s="32" t="str">
        <x:v>Rozliczenie kosztów</x:v>
      </x:c>
      <x:c r="C23" s="32" t="str">
        <x:v>Bilans</x:v>
      </x:c>
      <x:c r="D23" s="32" t="str">
        <x:v>WN</x:v>
      </x:c>
      <x:c r="E23" s="32" t="str">
        <x:v>Zapasy i rozliczenia</x:v>
      </x:c>
    </x:row>
    <x:row r="24">
      <x:c r="A24" s="32" t="str">
        <x:v>700</x:v>
      </x:c>
      <x:c r="B24" s="32" t="str">
        <x:v>Przychody ze sprzedaży produktów</x:v>
      </x:c>
      <x:c r="C24" s="32" t="str">
        <x:v>Wynik</x:v>
      </x:c>
      <x:c r="D24" s="32" t="str">
        <x:v>MA</x:v>
      </x:c>
      <x:c r="E24" s="32" t="str">
        <x:v>Przychody netto ze sprzedaży</x:v>
      </x:c>
    </x:row>
    <x:row r="25">
      <x:c r="A25" s="32" t="str">
        <x:v>701</x:v>
      </x:c>
      <x:c r="B25" s="32" t="str">
        <x:v>Przychody ze sprzedaży usług</x:v>
      </x:c>
      <x:c r="C25" s="32" t="str">
        <x:v>Wynik</x:v>
      </x:c>
      <x:c r="D25" s="32" t="str">
        <x:v>MA</x:v>
      </x:c>
      <x:c r="E25" s="32" t="str">
        <x:v>Przychody netto ze sprzedaży</x:v>
      </x:c>
    </x:row>
    <x:row r="26">
      <x:c r="A26" s="32" t="str">
        <x:v>730</x:v>
      </x:c>
      <x:c r="B26" s="32" t="str">
        <x:v>Przychody ze sprzedaży towarów</x:v>
      </x:c>
      <x:c r="C26" s="32" t="str">
        <x:v>Wynik</x:v>
      </x:c>
      <x:c r="D26" s="32" t="str">
        <x:v>MA</x:v>
      </x:c>
      <x:c r="E26" s="32" t="str">
        <x:v>Przychody netto ze sprzedaży</x:v>
      </x:c>
    </x:row>
    <x:row r="27">
      <x:c r="A27" s="32" t="str">
        <x:v>750</x:v>
      </x:c>
      <x:c r="B27" s="32" t="str">
        <x:v>Przychody finansowe</x:v>
      </x:c>
      <x:c r="C27" s="32" t="str">
        <x:v>Wynik</x:v>
      </x:c>
      <x:c r="D27" s="32" t="str">
        <x:v>MA</x:v>
      </x:c>
      <x:c r="E27" s="32" t="str">
        <x:v>Przychody finansowe</x:v>
      </x:c>
    </x:row>
    <x:row r="28">
      <x:c r="A28" s="32" t="str">
        <x:v>751</x:v>
      </x:c>
      <x:c r="B28" s="32" t="str">
        <x:v>Koszty finansowe</x:v>
      </x:c>
      <x:c r="C28" s="32" t="str">
        <x:v>Wynik</x:v>
      </x:c>
      <x:c r="D28" s="32" t="str">
        <x:v>WN</x:v>
      </x:c>
      <x:c r="E28" s="32" t="str">
        <x:v>Koszty finansowe</x:v>
      </x:c>
    </x:row>
    <x:row r="29">
      <x:c r="A29" s="32" t="str">
        <x:v>760</x:v>
      </x:c>
      <x:c r="B29" s="32" t="str">
        <x:v>Pozostałe przychody operacyjne</x:v>
      </x:c>
      <x:c r="C29" s="32" t="str">
        <x:v>Wynik</x:v>
      </x:c>
      <x:c r="D29" s="32" t="str">
        <x:v>MA</x:v>
      </x:c>
      <x:c r="E29" s="32" t="str">
        <x:v>Pozostałe przychody operacyjne</x:v>
      </x:c>
    </x:row>
    <x:row r="30">
      <x:c r="A30" s="32" t="str">
        <x:v>761</x:v>
      </x:c>
      <x:c r="B30" s="32" t="str">
        <x:v>Pozostałe koszty operacyjne</x:v>
      </x:c>
      <x:c r="C30" s="32" t="str">
        <x:v>Wynik</x:v>
      </x:c>
      <x:c r="D30" s="32" t="str">
        <x:v>WN</x:v>
      </x:c>
      <x:c r="E30" s="32" t="str">
        <x:v>Pozostałe koszty operacyjne</x:v>
      </x:c>
    </x:row>
    <x:row r="31">
      <x:c r="A31" s="37" t="str">
        <x:v>800</x:v>
      </x:c>
      <x:c r="B31" s="37" t="str">
        <x:v>Kapitał podstawowy</x:v>
      </x:c>
      <x:c r="C31" s="37" t="str">
        <x:v>Bilans</x:v>
      </x:c>
      <x:c r="D31" s="37" t="str">
        <x:v>MA</x:v>
      </x:c>
      <x:c r="E31" s="37" t="str">
        <x:v>Kapitał własny</x:v>
      </x:c>
    </x:row>
    <x:row r="32">
      <x:c r="A32" s="37" t="str">
        <x:v>820</x:v>
      </x:c>
      <x:c r="B32" s="37" t="str">
        <x:v>Kapitał zapasowy</x:v>
      </x:c>
      <x:c r="C32" s="37" t="str">
        <x:v>Bilans</x:v>
      </x:c>
      <x:c r="D32" s="37" t="str">
        <x:v>MA</x:v>
      </x:c>
      <x:c r="E32" s="37" t="str">
        <x:v>Kapitał własny</x:v>
      </x:c>
    </x:row>
    <x:row r="33">
      <x:c r="A33" s="37" t="str">
        <x:v>840</x:v>
      </x:c>
      <x:c r="B33" s="37" t="str">
        <x:v>Rezerwy</x:v>
      </x:c>
      <x:c r="C33" s="37" t="str">
        <x:v>Bilans</x:v>
      </x:c>
      <x:c r="D33" s="37" t="str">
        <x:v>MA</x:v>
      </x:c>
      <x:c r="E33" s="37" t="str">
        <x:v>Rezerwy</x:v>
      </x:c>
    </x:row>
    <x:row r="34">
      <x:c r="A34" s="37" t="str">
        <x:v>860</x:v>
      </x:c>
      <x:c r="B34" s="37" t="str">
        <x:v>Wynik finansowy</x:v>
      </x:c>
      <x:c r="C34" s="37" t="str">
        <x:v>Bilans</x:v>
      </x:c>
      <x:c r="D34" s="37" t="str">
        <x:v>MA</x:v>
      </x:c>
      <x:c r="E34" s="37" t="str">
        <x:v>Wynik lat ubiegłych</x:v>
      </x:c>
    </x:row>
    <x:row r="35">
      <x:c r="A35" s="37" t="str">
        <x:v>870</x:v>
      </x:c>
      <x:c r="B35" s="37" t="str">
        <x:v>Podatek dochodowy</x:v>
      </x:c>
      <x:c r="C35" s="37" t="str">
        <x:v>Wynik</x:v>
      </x:c>
      <x:c r="D35" s="37" t="str">
        <x:v>WN</x:v>
      </x:c>
      <x:c r="E35" s="37" t="str">
        <x:v>Podatek dochodowy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C9A22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36" hidden="0" customWidth="1"/>
    <x:col min="5" max="5" width="13" hidden="0" customWidth="1"/>
    <x:col min="6" max="6" width="37" hidden="0" customWidth="1"/>
    <x:col min="7" max="7" width="17" hidden="0" customWidth="1"/>
    <x:col min="8" max="8" width="17" hidden="0" customWidth="1"/>
    <x:col min="9" max="9" width="24" hidden="0" customWidth="1"/>
    <x:col min="10" max="10" width="24" hidden="0" customWidth="1"/>
    <x:col min="11" max="11" width="19" hidden="0" customWidth="1"/>
  </x:cols>
  <x:sheetData>
    <x:row r="1" ht="30" customHeight="1">
      <x:c r="A1" s="38" t="str">
        <x:v>DZIENNIK — JEDEN WIERSZ = JEDEN ZAPIS WN LUB MA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 ht="32" customHeight="1">
      <x:c r="A3" s="39" t="str">
        <x:v>Data operacji</x:v>
      </x:c>
      <x:c r="B3" s="39" t="str">
        <x:v>ID dekretu</x:v>
      </x:c>
      <x:c r="C3" s="39" t="str">
        <x:v>Nr dowodu</x:v>
      </x:c>
      <x:c r="D3" s="39" t="str">
        <x:v>Opis operacji</x:v>
      </x:c>
      <x:c r="E3" s="39" t="str">
        <x:v>Konto</x:v>
      </x:c>
      <x:c r="F3" s="39" t="str">
        <x:v>Nazwa konta</x:v>
      </x:c>
      <x:c r="G3" s="39" t="str">
        <x:v>WN (PLN)</x:v>
      </x:c>
      <x:c r="H3" s="39" t="str">
        <x:v>MA (PLN)</x:v>
      </x:c>
      <x:c r="I3" s="39" t="str">
        <x:v>Kontrahent</x:v>
      </x:c>
      <x:c r="J3" s="39" t="str">
        <x:v>MPK / projekt</x:v>
      </x:c>
      <x:c r="K3" s="39" t="str">
        <x:v>Kontrola dekretu</x:v>
      </x:c>
    </x:row>
    <x:row r="4">
      <x:c r="A4" s="33"/>
      <x:c r="B4" s="32"/>
      <x:c r="C4" s="32"/>
      <x:c r="D4" s="32"/>
      <x:c r="E4" s="32"/>
      <x:c r="F4" s="23" t="str">
        <x:f>IFERROR(VLOOKUP(E4,'Plan kont'!$A$4:$B$35,2,FALSE),"")</x:f>
      </x:c>
      <x:c r="G4" s="40"/>
      <x:c r="H4" s="40"/>
      <x:c r="I4" s="32"/>
      <x:c r="J4" s="32"/>
      <x:c r="K4" s="23" t="str">
        <x:f>IF(B4="","",IF(ABS(SUMIF($B$4:$B$503,B4,$G$4:$G$503)-SUMIF($B$4:$B$503,B4,$H$4:$H$503))&lt;0.01,"OK","NIEZGODNY"))</x:f>
      </x:c>
    </x:row>
    <x:row r="5">
      <x:c r="A5" s="33"/>
      <x:c r="B5" s="32"/>
      <x:c r="C5" s="32"/>
      <x:c r="D5" s="32"/>
      <x:c r="E5" s="32"/>
      <x:c r="F5" s="23" t="str">
        <x:f>IFERROR(VLOOKUP(E5,'Plan kont'!$A$4:$B$35,2,FALSE),"")</x:f>
      </x:c>
      <x:c r="G5" s="40"/>
      <x:c r="H5" s="40"/>
      <x:c r="I5" s="32"/>
      <x:c r="J5" s="32"/>
      <x:c r="K5" s="23" t="str">
        <x:f>IF(B5="","",IF(ABS(SUMIF($B$4:$B$503,B5,$G$4:$G$503)-SUMIF($B$4:$B$503,B5,$H$4:$H$503))&lt;0.01,"OK","NIEZGODNY"))</x:f>
      </x:c>
    </x:row>
    <x:row r="6">
      <x:c r="A6" s="33"/>
      <x:c r="B6" s="32"/>
      <x:c r="C6" s="32"/>
      <x:c r="D6" s="32"/>
      <x:c r="E6" s="32"/>
      <x:c r="F6" s="23" t="str">
        <x:f>IFERROR(VLOOKUP(E6,'Plan kont'!$A$4:$B$35,2,FALSE),"")</x:f>
      </x:c>
      <x:c r="G6" s="40"/>
      <x:c r="H6" s="40"/>
      <x:c r="I6" s="32"/>
      <x:c r="J6" s="32"/>
      <x:c r="K6" s="23" t="str">
        <x:f>IF(B6="","",IF(ABS(SUMIF($B$4:$B$503,B6,$G$4:$G$503)-SUMIF($B$4:$B$503,B6,$H$4:$H$503))&lt;0.01,"OK","NIEZGODNY"))</x:f>
      </x:c>
    </x:row>
    <x:row r="7">
      <x:c r="A7" s="33"/>
      <x:c r="B7" s="32"/>
      <x:c r="C7" s="32"/>
      <x:c r="D7" s="32"/>
      <x:c r="E7" s="32"/>
      <x:c r="F7" s="23" t="str">
        <x:f>IFERROR(VLOOKUP(E7,'Plan kont'!$A$4:$B$35,2,FALSE),"")</x:f>
      </x:c>
      <x:c r="G7" s="40"/>
      <x:c r="H7" s="40"/>
      <x:c r="I7" s="32"/>
      <x:c r="J7" s="32"/>
      <x:c r="K7" s="23" t="str">
        <x:f>IF(B7="","",IF(ABS(SUMIF($B$4:$B$503,B7,$G$4:$G$503)-SUMIF($B$4:$B$503,B7,$H$4:$H$503))&lt;0.01,"OK","NIEZGODNY"))</x:f>
      </x:c>
    </x:row>
    <x:row r="8">
      <x:c r="A8" s="33"/>
      <x:c r="B8" s="32"/>
      <x:c r="C8" s="32"/>
      <x:c r="D8" s="32"/>
      <x:c r="E8" s="32"/>
      <x:c r="F8" s="23" t="str">
        <x:f>IFERROR(VLOOKUP(E8,'Plan kont'!$A$4:$B$35,2,FALSE),"")</x:f>
      </x:c>
      <x:c r="G8" s="40"/>
      <x:c r="H8" s="40"/>
      <x:c r="I8" s="32"/>
      <x:c r="J8" s="32"/>
      <x:c r="K8" s="23" t="str">
        <x:f>IF(B8="","",IF(ABS(SUMIF($B$4:$B$503,B8,$G$4:$G$503)-SUMIF($B$4:$B$503,B8,$H$4:$H$503))&lt;0.01,"OK","NIEZGODNY"))</x:f>
      </x:c>
    </x:row>
    <x:row r="9">
      <x:c r="A9" s="33"/>
      <x:c r="B9" s="32"/>
      <x:c r="C9" s="32"/>
      <x:c r="D9" s="32"/>
      <x:c r="E9" s="32"/>
      <x:c r="F9" s="23" t="str">
        <x:f>IFERROR(VLOOKUP(E9,'Plan kont'!$A$4:$B$35,2,FALSE),"")</x:f>
      </x:c>
      <x:c r="G9" s="40"/>
      <x:c r="H9" s="40"/>
      <x:c r="I9" s="32"/>
      <x:c r="J9" s="32"/>
      <x:c r="K9" s="23" t="str">
        <x:f>IF(B9="","",IF(ABS(SUMIF($B$4:$B$503,B9,$G$4:$G$503)-SUMIF($B$4:$B$503,B9,$H$4:$H$503))&lt;0.01,"OK","NIEZGODNY"))</x:f>
      </x:c>
    </x:row>
    <x:row r="10">
      <x:c r="A10" s="33"/>
      <x:c r="B10" s="32"/>
      <x:c r="C10" s="32"/>
      <x:c r="D10" s="32"/>
      <x:c r="E10" s="32"/>
      <x:c r="F10" s="23" t="str">
        <x:f>IFERROR(VLOOKUP(E10,'Plan kont'!$A$4:$B$35,2,FALSE),"")</x:f>
      </x:c>
      <x:c r="G10" s="40"/>
      <x:c r="H10" s="40"/>
      <x:c r="I10" s="32"/>
      <x:c r="J10" s="32"/>
      <x:c r="K10" s="23" t="str">
        <x:f>IF(B10="","",IF(ABS(SUMIF($B$4:$B$503,B10,$G$4:$G$503)-SUMIF($B$4:$B$503,B10,$H$4:$H$503))&lt;0.01,"OK","NIEZGODNY"))</x:f>
      </x:c>
    </x:row>
    <x:row r="11">
      <x:c r="A11" s="33"/>
      <x:c r="B11" s="32"/>
      <x:c r="C11" s="32"/>
      <x:c r="D11" s="32"/>
      <x:c r="E11" s="32"/>
      <x:c r="F11" s="23" t="str">
        <x:f>IFERROR(VLOOKUP(E11,'Plan kont'!$A$4:$B$35,2,FALSE),"")</x:f>
      </x:c>
      <x:c r="G11" s="40"/>
      <x:c r="H11" s="40"/>
      <x:c r="I11" s="32"/>
      <x:c r="J11" s="32"/>
      <x:c r="K11" s="23" t="str">
        <x:f>IF(B11="","",IF(ABS(SUMIF($B$4:$B$503,B11,$G$4:$G$503)-SUMIF($B$4:$B$503,B11,$H$4:$H$503))&lt;0.01,"OK","NIEZGODNY"))</x:f>
      </x:c>
    </x:row>
    <x:row r="12">
      <x:c r="A12" s="33"/>
      <x:c r="B12" s="32"/>
      <x:c r="C12" s="32"/>
      <x:c r="D12" s="32"/>
      <x:c r="E12" s="32"/>
      <x:c r="F12" s="23" t="str">
        <x:f>IFERROR(VLOOKUP(E12,'Plan kont'!$A$4:$B$35,2,FALSE),"")</x:f>
      </x:c>
      <x:c r="G12" s="40"/>
      <x:c r="H12" s="40"/>
      <x:c r="I12" s="32"/>
      <x:c r="J12" s="32"/>
      <x:c r="K12" s="23" t="str">
        <x:f>IF(B12="","",IF(ABS(SUMIF($B$4:$B$503,B12,$G$4:$G$503)-SUMIF($B$4:$B$503,B12,$H$4:$H$503))&lt;0.01,"OK","NIEZGODNY"))</x:f>
      </x:c>
    </x:row>
    <x:row r="13">
      <x:c r="A13" s="33"/>
      <x:c r="B13" s="32"/>
      <x:c r="C13" s="32"/>
      <x:c r="D13" s="32"/>
      <x:c r="E13" s="32"/>
      <x:c r="F13" s="23" t="str">
        <x:f>IFERROR(VLOOKUP(E13,'Plan kont'!$A$4:$B$35,2,FALSE),"")</x:f>
      </x:c>
      <x:c r="G13" s="40"/>
      <x:c r="H13" s="40"/>
      <x:c r="I13" s="32"/>
      <x:c r="J13" s="32"/>
      <x:c r="K13" s="23" t="str">
        <x:f>IF(B13="","",IF(ABS(SUMIF($B$4:$B$503,B13,$G$4:$G$503)-SUMIF($B$4:$B$503,B13,$H$4:$H$503))&lt;0.01,"OK","NIEZGODNY"))</x:f>
      </x:c>
    </x:row>
    <x:row r="14">
      <x:c r="A14" s="33"/>
      <x:c r="B14" s="32"/>
      <x:c r="C14" s="32"/>
      <x:c r="D14" s="32"/>
      <x:c r="E14" s="32"/>
      <x:c r="F14" s="23" t="str">
        <x:f>IFERROR(VLOOKUP(E14,'Plan kont'!$A$4:$B$35,2,FALSE),"")</x:f>
      </x:c>
      <x:c r="G14" s="40"/>
      <x:c r="H14" s="40"/>
      <x:c r="I14" s="32"/>
      <x:c r="J14" s="32"/>
      <x:c r="K14" s="23" t="str">
        <x:f>IF(B14="","",IF(ABS(SUMIF($B$4:$B$503,B14,$G$4:$G$503)-SUMIF($B$4:$B$503,B14,$H$4:$H$503))&lt;0.01,"OK","NIEZGODNY"))</x:f>
      </x:c>
    </x:row>
    <x:row r="15">
      <x:c r="A15" s="33"/>
      <x:c r="B15" s="32"/>
      <x:c r="C15" s="32"/>
      <x:c r="D15" s="32"/>
      <x:c r="E15" s="32"/>
      <x:c r="F15" s="23" t="str">
        <x:f>IFERROR(VLOOKUP(E15,'Plan kont'!$A$4:$B$35,2,FALSE),"")</x:f>
      </x:c>
      <x:c r="G15" s="40"/>
      <x:c r="H15" s="40"/>
      <x:c r="I15" s="32"/>
      <x:c r="J15" s="32"/>
      <x:c r="K15" s="23" t="str">
        <x:f>IF(B15="","",IF(ABS(SUMIF($B$4:$B$503,B15,$G$4:$G$503)-SUMIF($B$4:$B$503,B15,$H$4:$H$503))&lt;0.01,"OK","NIEZGODNY"))</x:f>
      </x:c>
    </x:row>
    <x:row r="16">
      <x:c r="A16" s="33"/>
      <x:c r="B16" s="32"/>
      <x:c r="C16" s="32"/>
      <x:c r="D16" s="32"/>
      <x:c r="E16" s="32"/>
      <x:c r="F16" s="23" t="str">
        <x:f>IFERROR(VLOOKUP(E16,'Plan kont'!$A$4:$B$35,2,FALSE),"")</x:f>
      </x:c>
      <x:c r="G16" s="40"/>
      <x:c r="H16" s="40"/>
      <x:c r="I16" s="32"/>
      <x:c r="J16" s="32"/>
      <x:c r="K16" s="23" t="str">
        <x:f>IF(B16="","",IF(ABS(SUMIF($B$4:$B$503,B16,$G$4:$G$503)-SUMIF($B$4:$B$503,B16,$H$4:$H$503))&lt;0.01,"OK","NIEZGODNY"))</x:f>
      </x:c>
    </x:row>
    <x:row r="17">
      <x:c r="A17" s="33"/>
      <x:c r="B17" s="32"/>
      <x:c r="C17" s="32"/>
      <x:c r="D17" s="32"/>
      <x:c r="E17" s="32"/>
      <x:c r="F17" s="23" t="str">
        <x:f>IFERROR(VLOOKUP(E17,'Plan kont'!$A$4:$B$35,2,FALSE),"")</x:f>
      </x:c>
      <x:c r="G17" s="40"/>
      <x:c r="H17" s="40"/>
      <x:c r="I17" s="32"/>
      <x:c r="J17" s="32"/>
      <x:c r="K17" s="23" t="str">
        <x:f>IF(B17="","",IF(ABS(SUMIF($B$4:$B$503,B17,$G$4:$G$503)-SUMIF($B$4:$B$503,B17,$H$4:$H$503))&lt;0.01,"OK","NIEZGODNY"))</x:f>
      </x:c>
    </x:row>
    <x:row r="18">
      <x:c r="A18" s="33"/>
      <x:c r="B18" s="32"/>
      <x:c r="C18" s="32"/>
      <x:c r="D18" s="32"/>
      <x:c r="E18" s="32"/>
      <x:c r="F18" s="23" t="str">
        <x:f>IFERROR(VLOOKUP(E18,'Plan kont'!$A$4:$B$35,2,FALSE),"")</x:f>
      </x:c>
      <x:c r="G18" s="40"/>
      <x:c r="H18" s="40"/>
      <x:c r="I18" s="32"/>
      <x:c r="J18" s="32"/>
      <x:c r="K18" s="23" t="str">
        <x:f>IF(B18="","",IF(ABS(SUMIF($B$4:$B$503,B18,$G$4:$G$503)-SUMIF($B$4:$B$503,B18,$H$4:$H$503))&lt;0.01,"OK","NIEZGODNY"))</x:f>
      </x:c>
    </x:row>
    <x:row r="19">
      <x:c r="A19" s="33"/>
      <x:c r="B19" s="32"/>
      <x:c r="C19" s="32"/>
      <x:c r="D19" s="32"/>
      <x:c r="E19" s="32"/>
      <x:c r="F19" s="23" t="str">
        <x:f>IFERROR(VLOOKUP(E19,'Plan kont'!$A$4:$B$35,2,FALSE),"")</x:f>
      </x:c>
      <x:c r="G19" s="40"/>
      <x:c r="H19" s="40"/>
      <x:c r="I19" s="32"/>
      <x:c r="J19" s="32"/>
      <x:c r="K19" s="23" t="str">
        <x:f>IF(B19="","",IF(ABS(SUMIF($B$4:$B$503,B19,$G$4:$G$503)-SUMIF($B$4:$B$503,B19,$H$4:$H$503))&lt;0.01,"OK","NIEZGODNY"))</x:f>
      </x:c>
    </x:row>
    <x:row r="20">
      <x:c r="A20" s="33"/>
      <x:c r="B20" s="32"/>
      <x:c r="C20" s="32"/>
      <x:c r="D20" s="32"/>
      <x:c r="E20" s="32"/>
      <x:c r="F20" s="23" t="str">
        <x:f>IFERROR(VLOOKUP(E20,'Plan kont'!$A$4:$B$35,2,FALSE),"")</x:f>
      </x:c>
      <x:c r="G20" s="40"/>
      <x:c r="H20" s="40"/>
      <x:c r="I20" s="32"/>
      <x:c r="J20" s="32"/>
      <x:c r="K20" s="23" t="str">
        <x:f>IF(B20="","",IF(ABS(SUMIF($B$4:$B$503,B20,$G$4:$G$503)-SUMIF($B$4:$B$503,B20,$H$4:$H$503))&lt;0.01,"OK","NIEZGODNY"))</x:f>
      </x:c>
    </x:row>
    <x:row r="21">
      <x:c r="A21" s="33"/>
      <x:c r="B21" s="32"/>
      <x:c r="C21" s="32"/>
      <x:c r="D21" s="32"/>
      <x:c r="E21" s="32"/>
      <x:c r="F21" s="23" t="str">
        <x:f>IFERROR(VLOOKUP(E21,'Plan kont'!$A$4:$B$35,2,FALSE),"")</x:f>
      </x:c>
      <x:c r="G21" s="40"/>
      <x:c r="H21" s="40"/>
      <x:c r="I21" s="32"/>
      <x:c r="J21" s="32"/>
      <x:c r="K21" s="23" t="str">
        <x:f>IF(B21="","",IF(ABS(SUMIF($B$4:$B$503,B21,$G$4:$G$503)-SUMIF($B$4:$B$503,B21,$H$4:$H$503))&lt;0.01,"OK","NIEZGODNY"))</x:f>
      </x:c>
    </x:row>
    <x:row r="22">
      <x:c r="A22" s="33"/>
      <x:c r="B22" s="32"/>
      <x:c r="C22" s="32"/>
      <x:c r="D22" s="32"/>
      <x:c r="E22" s="32"/>
      <x:c r="F22" s="23" t="str">
        <x:f>IFERROR(VLOOKUP(E22,'Plan kont'!$A$4:$B$35,2,FALSE),"")</x:f>
      </x:c>
      <x:c r="G22" s="40"/>
      <x:c r="H22" s="40"/>
      <x:c r="I22" s="32"/>
      <x:c r="J22" s="32"/>
      <x:c r="K22" s="23" t="str">
        <x:f>IF(B22="","",IF(ABS(SUMIF($B$4:$B$503,B22,$G$4:$G$503)-SUMIF($B$4:$B$503,B22,$H$4:$H$503))&lt;0.01,"OK","NIEZGODNY"))</x:f>
      </x:c>
    </x:row>
    <x:row r="23">
      <x:c r="A23" s="33"/>
      <x:c r="B23" s="32"/>
      <x:c r="C23" s="32"/>
      <x:c r="D23" s="32"/>
      <x:c r="E23" s="32"/>
      <x:c r="F23" s="23" t="str">
        <x:f>IFERROR(VLOOKUP(E23,'Plan kont'!$A$4:$B$35,2,FALSE),"")</x:f>
      </x:c>
      <x:c r="G23" s="40"/>
      <x:c r="H23" s="40"/>
      <x:c r="I23" s="32"/>
      <x:c r="J23" s="32"/>
      <x:c r="K23" s="23" t="str">
        <x:f>IF(B23="","",IF(ABS(SUMIF($B$4:$B$503,B23,$G$4:$G$503)-SUMIF($B$4:$B$503,B23,$H$4:$H$503))&lt;0.01,"OK","NIEZGODNY"))</x:f>
      </x:c>
    </x:row>
    <x:row r="24">
      <x:c r="A24" s="33"/>
      <x:c r="B24" s="32"/>
      <x:c r="C24" s="32"/>
      <x:c r="D24" s="32"/>
      <x:c r="E24" s="32"/>
      <x:c r="F24" s="23" t="str">
        <x:f>IFERROR(VLOOKUP(E24,'Plan kont'!$A$4:$B$35,2,FALSE),"")</x:f>
      </x:c>
      <x:c r="G24" s="40"/>
      <x:c r="H24" s="40"/>
      <x:c r="I24" s="32"/>
      <x:c r="J24" s="32"/>
      <x:c r="K24" s="23" t="str">
        <x:f>IF(B24="","",IF(ABS(SUMIF($B$4:$B$503,B24,$G$4:$G$503)-SUMIF($B$4:$B$503,B24,$H$4:$H$503))&lt;0.01,"OK","NIEZGODNY"))</x:f>
      </x:c>
    </x:row>
    <x:row r="25">
      <x:c r="A25" s="33"/>
      <x:c r="B25" s="32"/>
      <x:c r="C25" s="32"/>
      <x:c r="D25" s="32"/>
      <x:c r="E25" s="32"/>
      <x:c r="F25" s="23" t="str">
        <x:f>IFERROR(VLOOKUP(E25,'Plan kont'!$A$4:$B$35,2,FALSE),"")</x:f>
      </x:c>
      <x:c r="G25" s="40"/>
      <x:c r="H25" s="40"/>
      <x:c r="I25" s="32"/>
      <x:c r="J25" s="32"/>
      <x:c r="K25" s="23" t="str">
        <x:f>IF(B25="","",IF(ABS(SUMIF($B$4:$B$503,B25,$G$4:$G$503)-SUMIF($B$4:$B$503,B25,$H$4:$H$503))&lt;0.01,"OK","NIEZGODNY"))</x:f>
      </x:c>
    </x:row>
    <x:row r="26">
      <x:c r="A26" s="33"/>
      <x:c r="B26" s="32"/>
      <x:c r="C26" s="32"/>
      <x:c r="D26" s="32"/>
      <x:c r="E26" s="32"/>
      <x:c r="F26" s="23" t="str">
        <x:f>IFERROR(VLOOKUP(E26,'Plan kont'!$A$4:$B$35,2,FALSE),"")</x:f>
      </x:c>
      <x:c r="G26" s="40"/>
      <x:c r="H26" s="40"/>
      <x:c r="I26" s="32"/>
      <x:c r="J26" s="32"/>
      <x:c r="K26" s="23" t="str">
        <x:f>IF(B26="","",IF(ABS(SUMIF($B$4:$B$503,B26,$G$4:$G$503)-SUMIF($B$4:$B$503,B26,$H$4:$H$503))&lt;0.01,"OK","NIEZGODNY"))</x:f>
      </x:c>
    </x:row>
    <x:row r="27">
      <x:c r="A27" s="33"/>
      <x:c r="B27" s="32"/>
      <x:c r="C27" s="32"/>
      <x:c r="D27" s="32"/>
      <x:c r="E27" s="32"/>
      <x:c r="F27" s="23" t="str">
        <x:f>IFERROR(VLOOKUP(E27,'Plan kont'!$A$4:$B$35,2,FALSE),"")</x:f>
      </x:c>
      <x:c r="G27" s="40"/>
      <x:c r="H27" s="40"/>
      <x:c r="I27" s="32"/>
      <x:c r="J27" s="32"/>
      <x:c r="K27" s="23" t="str">
        <x:f>IF(B27="","",IF(ABS(SUMIF($B$4:$B$503,B27,$G$4:$G$503)-SUMIF($B$4:$B$503,B27,$H$4:$H$503))&lt;0.01,"OK","NIEZGODNY"))</x:f>
      </x:c>
    </x:row>
    <x:row r="28">
      <x:c r="A28" s="33"/>
      <x:c r="B28" s="32"/>
      <x:c r="C28" s="32"/>
      <x:c r="D28" s="32"/>
      <x:c r="E28" s="32"/>
      <x:c r="F28" s="23" t="str">
        <x:f>IFERROR(VLOOKUP(E28,'Plan kont'!$A$4:$B$35,2,FALSE),"")</x:f>
      </x:c>
      <x:c r="G28" s="40"/>
      <x:c r="H28" s="40"/>
      <x:c r="I28" s="32"/>
      <x:c r="J28" s="32"/>
      <x:c r="K28" s="23" t="str">
        <x:f>IF(B28="","",IF(ABS(SUMIF($B$4:$B$503,B28,$G$4:$G$503)-SUMIF($B$4:$B$503,B28,$H$4:$H$503))&lt;0.01,"OK","NIEZGODNY"))</x:f>
      </x:c>
    </x:row>
    <x:row r="29">
      <x:c r="A29" s="33"/>
      <x:c r="B29" s="32"/>
      <x:c r="C29" s="32"/>
      <x:c r="D29" s="32"/>
      <x:c r="E29" s="32"/>
      <x:c r="F29" s="23" t="str">
        <x:f>IFERROR(VLOOKUP(E29,'Plan kont'!$A$4:$B$35,2,FALSE),"")</x:f>
      </x:c>
      <x:c r="G29" s="40"/>
      <x:c r="H29" s="40"/>
      <x:c r="I29" s="32"/>
      <x:c r="J29" s="32"/>
      <x:c r="K29" s="23" t="str">
        <x:f>IF(B29="","",IF(ABS(SUMIF($B$4:$B$503,B29,$G$4:$G$503)-SUMIF($B$4:$B$503,B29,$H$4:$H$503))&lt;0.01,"OK","NIEZGODNY"))</x:f>
      </x:c>
    </x:row>
    <x:row r="30">
      <x:c r="A30" s="33"/>
      <x:c r="B30" s="32"/>
      <x:c r="C30" s="32"/>
      <x:c r="D30" s="32"/>
      <x:c r="E30" s="32"/>
      <x:c r="F30" s="23" t="str">
        <x:f>IFERROR(VLOOKUP(E30,'Plan kont'!$A$4:$B$35,2,FALSE),"")</x:f>
      </x:c>
      <x:c r="G30" s="40"/>
      <x:c r="H30" s="40"/>
      <x:c r="I30" s="32"/>
      <x:c r="J30" s="32"/>
      <x:c r="K30" s="23" t="str">
        <x:f>IF(B30="","",IF(ABS(SUMIF($B$4:$B$503,B30,$G$4:$G$503)-SUMIF($B$4:$B$503,B30,$H$4:$H$503))&lt;0.01,"OK","NIEZGODNY"))</x:f>
      </x:c>
    </x:row>
    <x:row r="31">
      <x:c r="A31" s="33"/>
      <x:c r="B31" s="32"/>
      <x:c r="C31" s="32"/>
      <x:c r="D31" s="32"/>
      <x:c r="E31" s="32"/>
      <x:c r="F31" s="23" t="str">
        <x:f>IFERROR(VLOOKUP(E31,'Plan kont'!$A$4:$B$35,2,FALSE),"")</x:f>
      </x:c>
      <x:c r="G31" s="40"/>
      <x:c r="H31" s="40"/>
      <x:c r="I31" s="32"/>
      <x:c r="J31" s="32"/>
      <x:c r="K31" s="23" t="str">
        <x:f>IF(B31="","",IF(ABS(SUMIF($B$4:$B$503,B31,$G$4:$G$503)-SUMIF($B$4:$B$503,B31,$H$4:$H$503))&lt;0.01,"OK","NIEZGODNY"))</x:f>
      </x:c>
    </x:row>
    <x:row r="32">
      <x:c r="A32" s="33"/>
      <x:c r="B32" s="32"/>
      <x:c r="C32" s="32"/>
      <x:c r="D32" s="32"/>
      <x:c r="E32" s="32"/>
      <x:c r="F32" s="23" t="str">
        <x:f>IFERROR(VLOOKUP(E32,'Plan kont'!$A$4:$B$35,2,FALSE),"")</x:f>
      </x:c>
      <x:c r="G32" s="40"/>
      <x:c r="H32" s="40"/>
      <x:c r="I32" s="32"/>
      <x:c r="J32" s="32"/>
      <x:c r="K32" s="23" t="str">
        <x:f>IF(B32="","",IF(ABS(SUMIF($B$4:$B$503,B32,$G$4:$G$503)-SUMIF($B$4:$B$503,B32,$H$4:$H$503))&lt;0.01,"OK","NIEZGODNY"))</x:f>
      </x:c>
    </x:row>
    <x:row r="33">
      <x:c r="A33" s="33"/>
      <x:c r="B33" s="32"/>
      <x:c r="C33" s="32"/>
      <x:c r="D33" s="32"/>
      <x:c r="E33" s="32"/>
      <x:c r="F33" s="23" t="str">
        <x:f>IFERROR(VLOOKUP(E33,'Plan kont'!$A$4:$B$35,2,FALSE),"")</x:f>
      </x:c>
      <x:c r="G33" s="40"/>
      <x:c r="H33" s="40"/>
      <x:c r="I33" s="32"/>
      <x:c r="J33" s="32"/>
      <x:c r="K33" s="23" t="str">
        <x:f>IF(B33="","",IF(ABS(SUMIF($B$4:$B$503,B33,$G$4:$G$503)-SUMIF($B$4:$B$503,B33,$H$4:$H$503))&lt;0.01,"OK","NIEZGODNY"))</x:f>
      </x:c>
    </x:row>
    <x:row r="34">
      <x:c r="A34" s="33"/>
      <x:c r="B34" s="32"/>
      <x:c r="C34" s="32"/>
      <x:c r="D34" s="32"/>
      <x:c r="E34" s="32"/>
      <x:c r="F34" s="23" t="str">
        <x:f>IFERROR(VLOOKUP(E34,'Plan kont'!$A$4:$B$35,2,FALSE),"")</x:f>
      </x:c>
      <x:c r="G34" s="40"/>
      <x:c r="H34" s="40"/>
      <x:c r="I34" s="32"/>
      <x:c r="J34" s="32"/>
      <x:c r="K34" s="23" t="str">
        <x:f>IF(B34="","",IF(ABS(SUMIF($B$4:$B$503,B34,$G$4:$G$503)-SUMIF($B$4:$B$503,B34,$H$4:$H$503))&lt;0.01,"OK","NIEZGODNY"))</x:f>
      </x:c>
    </x:row>
    <x:row r="35">
      <x:c r="A35" s="33"/>
      <x:c r="B35" s="32"/>
      <x:c r="C35" s="32"/>
      <x:c r="D35" s="32"/>
      <x:c r="E35" s="32"/>
      <x:c r="F35" s="23" t="str">
        <x:f>IFERROR(VLOOKUP(E35,'Plan kont'!$A$4:$B$35,2,FALSE),"")</x:f>
      </x:c>
      <x:c r="G35" s="40"/>
      <x:c r="H35" s="40"/>
      <x:c r="I35" s="32"/>
      <x:c r="J35" s="32"/>
      <x:c r="K35" s="23" t="str">
        <x:f>IF(B35="","",IF(ABS(SUMIF($B$4:$B$503,B35,$G$4:$G$503)-SUMIF($B$4:$B$503,B35,$H$4:$H$503))&lt;0.01,"OK","NIEZGODNY"))</x:f>
      </x:c>
    </x:row>
    <x:row r="36">
      <x:c r="A36" s="33"/>
      <x:c r="B36" s="32"/>
      <x:c r="C36" s="32"/>
      <x:c r="D36" s="32"/>
      <x:c r="E36" s="32"/>
      <x:c r="F36" s="23" t="str">
        <x:f>IFERROR(VLOOKUP(E36,'Plan kont'!$A$4:$B$35,2,FALSE),"")</x:f>
      </x:c>
      <x:c r="G36" s="40"/>
      <x:c r="H36" s="40"/>
      <x:c r="I36" s="32"/>
      <x:c r="J36" s="32"/>
      <x:c r="K36" s="23" t="str">
        <x:f>IF(B36="","",IF(ABS(SUMIF($B$4:$B$503,B36,$G$4:$G$503)-SUMIF($B$4:$B$503,B36,$H$4:$H$503))&lt;0.01,"OK","NIEZGODNY"))</x:f>
      </x:c>
    </x:row>
    <x:row r="37">
      <x:c r="A37" s="33"/>
      <x:c r="B37" s="32"/>
      <x:c r="C37" s="32"/>
      <x:c r="D37" s="32"/>
      <x:c r="E37" s="32"/>
      <x:c r="F37" s="23" t="str">
        <x:f>IFERROR(VLOOKUP(E37,'Plan kont'!$A$4:$B$35,2,FALSE),"")</x:f>
      </x:c>
      <x:c r="G37" s="40"/>
      <x:c r="H37" s="40"/>
      <x:c r="I37" s="32"/>
      <x:c r="J37" s="32"/>
      <x:c r="K37" s="23" t="str">
        <x:f>IF(B37="","",IF(ABS(SUMIF($B$4:$B$503,B37,$G$4:$G$503)-SUMIF($B$4:$B$503,B37,$H$4:$H$503))&lt;0.01,"OK","NIEZGODNY"))</x:f>
      </x:c>
    </x:row>
    <x:row r="38">
      <x:c r="A38" s="33"/>
      <x:c r="B38" s="32"/>
      <x:c r="C38" s="32"/>
      <x:c r="D38" s="32"/>
      <x:c r="E38" s="32"/>
      <x:c r="F38" s="23" t="str">
        <x:f>IFERROR(VLOOKUP(E38,'Plan kont'!$A$4:$B$35,2,FALSE),"")</x:f>
      </x:c>
      <x:c r="G38" s="40"/>
      <x:c r="H38" s="40"/>
      <x:c r="I38" s="32"/>
      <x:c r="J38" s="32"/>
      <x:c r="K38" s="23" t="str">
        <x:f>IF(B38="","",IF(ABS(SUMIF($B$4:$B$503,B38,$G$4:$G$503)-SUMIF($B$4:$B$503,B38,$H$4:$H$503))&lt;0.01,"OK","NIEZGODNY"))</x:f>
      </x:c>
    </x:row>
    <x:row r="39">
      <x:c r="A39" s="33"/>
      <x:c r="B39" s="32"/>
      <x:c r="C39" s="32"/>
      <x:c r="D39" s="32"/>
      <x:c r="E39" s="32"/>
      <x:c r="F39" s="23" t="str">
        <x:f>IFERROR(VLOOKUP(E39,'Plan kont'!$A$4:$B$35,2,FALSE),"")</x:f>
      </x:c>
      <x:c r="G39" s="40"/>
      <x:c r="H39" s="40"/>
      <x:c r="I39" s="32"/>
      <x:c r="J39" s="32"/>
      <x:c r="K39" s="23" t="str">
        <x:f>IF(B39="","",IF(ABS(SUMIF($B$4:$B$503,B39,$G$4:$G$503)-SUMIF($B$4:$B$503,B39,$H$4:$H$503))&lt;0.01,"OK","NIEZGODNY"))</x:f>
      </x:c>
    </x:row>
    <x:row r="40">
      <x:c r="A40" s="33"/>
      <x:c r="B40" s="32"/>
      <x:c r="C40" s="32"/>
      <x:c r="D40" s="32"/>
      <x:c r="E40" s="32"/>
      <x:c r="F40" s="23" t="str">
        <x:f>IFERROR(VLOOKUP(E40,'Plan kont'!$A$4:$B$35,2,FALSE),"")</x:f>
      </x:c>
      <x:c r="G40" s="40"/>
      <x:c r="H40" s="40"/>
      <x:c r="I40" s="32"/>
      <x:c r="J40" s="32"/>
      <x:c r="K40" s="23" t="str">
        <x:f>IF(B40="","",IF(ABS(SUMIF($B$4:$B$503,B40,$G$4:$G$503)-SUMIF($B$4:$B$503,B40,$H$4:$H$503))&lt;0.01,"OK","NIEZGODNY"))</x:f>
      </x:c>
    </x:row>
    <x:row r="41">
      <x:c r="A41" s="33"/>
      <x:c r="B41" s="32"/>
      <x:c r="C41" s="32"/>
      <x:c r="D41" s="32"/>
      <x:c r="E41" s="32"/>
      <x:c r="F41" s="23" t="str">
        <x:f>IFERROR(VLOOKUP(E41,'Plan kont'!$A$4:$B$35,2,FALSE),"")</x:f>
      </x:c>
      <x:c r="G41" s="40"/>
      <x:c r="H41" s="40"/>
      <x:c r="I41" s="32"/>
      <x:c r="J41" s="32"/>
      <x:c r="K41" s="23" t="str">
        <x:f>IF(B41="","",IF(ABS(SUMIF($B$4:$B$503,B41,$G$4:$G$503)-SUMIF($B$4:$B$503,B41,$H$4:$H$503))&lt;0.01,"OK","NIEZGODNY"))</x:f>
      </x:c>
    </x:row>
    <x:row r="42">
      <x:c r="A42" s="33"/>
      <x:c r="B42" s="32"/>
      <x:c r="C42" s="32"/>
      <x:c r="D42" s="32"/>
      <x:c r="E42" s="32"/>
      <x:c r="F42" s="23" t="str">
        <x:f>IFERROR(VLOOKUP(E42,'Plan kont'!$A$4:$B$35,2,FALSE),"")</x:f>
      </x:c>
      <x:c r="G42" s="40"/>
      <x:c r="H42" s="40"/>
      <x:c r="I42" s="32"/>
      <x:c r="J42" s="32"/>
      <x:c r="K42" s="23" t="str">
        <x:f>IF(B42="","",IF(ABS(SUMIF($B$4:$B$503,B42,$G$4:$G$503)-SUMIF($B$4:$B$503,B42,$H$4:$H$503))&lt;0.01,"OK","NIEZGODNY"))</x:f>
      </x:c>
    </x:row>
    <x:row r="43">
      <x:c r="A43" s="33"/>
      <x:c r="B43" s="32"/>
      <x:c r="C43" s="32"/>
      <x:c r="D43" s="32"/>
      <x:c r="E43" s="32"/>
      <x:c r="F43" s="23" t="str">
        <x:f>IFERROR(VLOOKUP(E43,'Plan kont'!$A$4:$B$35,2,FALSE),"")</x:f>
      </x:c>
      <x:c r="G43" s="40"/>
      <x:c r="H43" s="40"/>
      <x:c r="I43" s="32"/>
      <x:c r="J43" s="32"/>
      <x:c r="K43" s="23" t="str">
        <x:f>IF(B43="","",IF(ABS(SUMIF($B$4:$B$503,B43,$G$4:$G$503)-SUMIF($B$4:$B$503,B43,$H$4:$H$503))&lt;0.01,"OK","NIEZGODNY"))</x:f>
      </x:c>
    </x:row>
    <x:row r="44">
      <x:c r="A44" s="33"/>
      <x:c r="B44" s="32"/>
      <x:c r="C44" s="32"/>
      <x:c r="D44" s="32"/>
      <x:c r="E44" s="32"/>
      <x:c r="F44" s="23" t="str">
        <x:f>IFERROR(VLOOKUP(E44,'Plan kont'!$A$4:$B$35,2,FALSE),"")</x:f>
      </x:c>
      <x:c r="G44" s="40"/>
      <x:c r="H44" s="40"/>
      <x:c r="I44" s="32"/>
      <x:c r="J44" s="32"/>
      <x:c r="K44" s="23" t="str">
        <x:f>IF(B44="","",IF(ABS(SUMIF($B$4:$B$503,B44,$G$4:$G$503)-SUMIF($B$4:$B$503,B44,$H$4:$H$503))&lt;0.01,"OK","NIEZGODNY"))</x:f>
      </x:c>
    </x:row>
    <x:row r="45">
      <x:c r="A45" s="33"/>
      <x:c r="B45" s="32"/>
      <x:c r="C45" s="32"/>
      <x:c r="D45" s="32"/>
      <x:c r="E45" s="32"/>
      <x:c r="F45" s="23" t="str">
        <x:f>IFERROR(VLOOKUP(E45,'Plan kont'!$A$4:$B$35,2,FALSE),"")</x:f>
      </x:c>
      <x:c r="G45" s="40"/>
      <x:c r="H45" s="40"/>
      <x:c r="I45" s="32"/>
      <x:c r="J45" s="32"/>
      <x:c r="K45" s="23" t="str">
        <x:f>IF(B45="","",IF(ABS(SUMIF($B$4:$B$503,B45,$G$4:$G$503)-SUMIF($B$4:$B$503,B45,$H$4:$H$503))&lt;0.01,"OK","NIEZGODNY"))</x:f>
      </x:c>
    </x:row>
    <x:row r="46">
      <x:c r="A46" s="33"/>
      <x:c r="B46" s="32"/>
      <x:c r="C46" s="32"/>
      <x:c r="D46" s="32"/>
      <x:c r="E46" s="32"/>
      <x:c r="F46" s="23" t="str">
        <x:f>IFERROR(VLOOKUP(E46,'Plan kont'!$A$4:$B$35,2,FALSE),"")</x:f>
      </x:c>
      <x:c r="G46" s="40"/>
      <x:c r="H46" s="40"/>
      <x:c r="I46" s="32"/>
      <x:c r="J46" s="32"/>
      <x:c r="K46" s="23" t="str">
        <x:f>IF(B46="","",IF(ABS(SUMIF($B$4:$B$503,B46,$G$4:$G$503)-SUMIF($B$4:$B$503,B46,$H$4:$H$503))&lt;0.01,"OK","NIEZGODNY"))</x:f>
      </x:c>
    </x:row>
    <x:row r="47">
      <x:c r="A47" s="33"/>
      <x:c r="B47" s="32"/>
      <x:c r="C47" s="32"/>
      <x:c r="D47" s="32"/>
      <x:c r="E47" s="32"/>
      <x:c r="F47" s="23" t="str">
        <x:f>IFERROR(VLOOKUP(E47,'Plan kont'!$A$4:$B$35,2,FALSE),"")</x:f>
      </x:c>
      <x:c r="G47" s="40"/>
      <x:c r="H47" s="40"/>
      <x:c r="I47" s="32"/>
      <x:c r="J47" s="32"/>
      <x:c r="K47" s="23" t="str">
        <x:f>IF(B47="","",IF(ABS(SUMIF($B$4:$B$503,B47,$G$4:$G$503)-SUMIF($B$4:$B$503,B47,$H$4:$H$503))&lt;0.01,"OK","NIEZGODNY"))</x:f>
      </x:c>
    </x:row>
    <x:row r="48">
      <x:c r="A48" s="33"/>
      <x:c r="B48" s="32"/>
      <x:c r="C48" s="32"/>
      <x:c r="D48" s="32"/>
      <x:c r="E48" s="32"/>
      <x:c r="F48" s="23" t="str">
        <x:f>IFERROR(VLOOKUP(E48,'Plan kont'!$A$4:$B$35,2,FALSE),"")</x:f>
      </x:c>
      <x:c r="G48" s="40"/>
      <x:c r="H48" s="40"/>
      <x:c r="I48" s="32"/>
      <x:c r="J48" s="32"/>
      <x:c r="K48" s="23" t="str">
        <x:f>IF(B48="","",IF(ABS(SUMIF($B$4:$B$503,B48,$G$4:$G$503)-SUMIF($B$4:$B$503,B48,$H$4:$H$503))&lt;0.01,"OK","NIEZGODNY"))</x:f>
      </x:c>
    </x:row>
    <x:row r="49">
      <x:c r="A49" s="33"/>
      <x:c r="B49" s="32"/>
      <x:c r="C49" s="32"/>
      <x:c r="D49" s="32"/>
      <x:c r="E49" s="32"/>
      <x:c r="F49" s="23" t="str">
        <x:f>IFERROR(VLOOKUP(E49,'Plan kont'!$A$4:$B$35,2,FALSE),"")</x:f>
      </x:c>
      <x:c r="G49" s="40"/>
      <x:c r="H49" s="40"/>
      <x:c r="I49" s="32"/>
      <x:c r="J49" s="32"/>
      <x:c r="K49" s="23" t="str">
        <x:f>IF(B49="","",IF(ABS(SUMIF($B$4:$B$503,B49,$G$4:$G$503)-SUMIF($B$4:$B$503,B49,$H$4:$H$503))&lt;0.01,"OK","NIEZGODNY"))</x:f>
      </x:c>
    </x:row>
    <x:row r="50">
      <x:c r="A50" s="33"/>
      <x:c r="B50" s="32"/>
      <x:c r="C50" s="32"/>
      <x:c r="D50" s="32"/>
      <x:c r="E50" s="32"/>
      <x:c r="F50" s="23" t="str">
        <x:f>IFERROR(VLOOKUP(E50,'Plan kont'!$A$4:$B$35,2,FALSE),"")</x:f>
      </x:c>
      <x:c r="G50" s="40"/>
      <x:c r="H50" s="40"/>
      <x:c r="I50" s="32"/>
      <x:c r="J50" s="32"/>
      <x:c r="K50" s="23" t="str">
        <x:f>IF(B50="","",IF(ABS(SUMIF($B$4:$B$503,B50,$G$4:$G$503)-SUMIF($B$4:$B$503,B50,$H$4:$H$503))&lt;0.01,"OK","NIEZGODNY"))</x:f>
      </x:c>
    </x:row>
    <x:row r="51">
      <x:c r="A51" s="33"/>
      <x:c r="B51" s="32"/>
      <x:c r="C51" s="32"/>
      <x:c r="D51" s="32"/>
      <x:c r="E51" s="32"/>
      <x:c r="F51" s="23" t="str">
        <x:f>IFERROR(VLOOKUP(E51,'Plan kont'!$A$4:$B$35,2,FALSE),"")</x:f>
      </x:c>
      <x:c r="G51" s="40"/>
      <x:c r="H51" s="40"/>
      <x:c r="I51" s="32"/>
      <x:c r="J51" s="32"/>
      <x:c r="K51" s="23" t="str">
        <x:f>IF(B51="","",IF(ABS(SUMIF($B$4:$B$503,B51,$G$4:$G$503)-SUMIF($B$4:$B$503,B51,$H$4:$H$503))&lt;0.01,"OK","NIEZGODNY"))</x:f>
      </x:c>
    </x:row>
    <x:row r="52">
      <x:c r="A52" s="33"/>
      <x:c r="B52" s="32"/>
      <x:c r="C52" s="32"/>
      <x:c r="D52" s="32"/>
      <x:c r="E52" s="32"/>
      <x:c r="F52" s="23" t="str">
        <x:f>IFERROR(VLOOKUP(E52,'Plan kont'!$A$4:$B$35,2,FALSE),"")</x:f>
      </x:c>
      <x:c r="G52" s="40"/>
      <x:c r="H52" s="40"/>
      <x:c r="I52" s="32"/>
      <x:c r="J52" s="32"/>
      <x:c r="K52" s="23" t="str">
        <x:f>IF(B52="","",IF(ABS(SUMIF($B$4:$B$503,B52,$G$4:$G$503)-SUMIF($B$4:$B$503,B52,$H$4:$H$503))&lt;0.01,"OK","NIEZGODNY"))</x:f>
      </x:c>
    </x:row>
    <x:row r="53">
      <x:c r="A53" s="33"/>
      <x:c r="B53" s="32"/>
      <x:c r="C53" s="32"/>
      <x:c r="D53" s="32"/>
      <x:c r="E53" s="32"/>
      <x:c r="F53" s="23" t="str">
        <x:f>IFERROR(VLOOKUP(E53,'Plan kont'!$A$4:$B$35,2,FALSE),"")</x:f>
      </x:c>
      <x:c r="G53" s="40"/>
      <x:c r="H53" s="40"/>
      <x:c r="I53" s="32"/>
      <x:c r="J53" s="32"/>
      <x:c r="K53" s="23" t="str">
        <x:f>IF(B53="","",IF(ABS(SUMIF($B$4:$B$503,B53,$G$4:$G$503)-SUMIF($B$4:$B$503,B53,$H$4:$H$503))&lt;0.01,"OK","NIEZGODNY"))</x:f>
      </x:c>
    </x:row>
    <x:row r="54">
      <x:c r="A54" s="33"/>
      <x:c r="B54" s="32"/>
      <x:c r="C54" s="32"/>
      <x:c r="D54" s="32"/>
      <x:c r="E54" s="32"/>
      <x:c r="F54" s="23" t="str">
        <x:f>IFERROR(VLOOKUP(E54,'Plan kont'!$A$4:$B$35,2,FALSE),"")</x:f>
      </x:c>
      <x:c r="G54" s="40"/>
      <x:c r="H54" s="40"/>
      <x:c r="I54" s="32"/>
      <x:c r="J54" s="32"/>
      <x:c r="K54" s="23" t="str">
        <x:f>IF(B54="","",IF(ABS(SUMIF($B$4:$B$503,B54,$G$4:$G$503)-SUMIF($B$4:$B$503,B54,$H$4:$H$503))&lt;0.01,"OK","NIEZGODNY"))</x:f>
      </x:c>
    </x:row>
    <x:row r="55">
      <x:c r="A55" s="33"/>
      <x:c r="B55" s="32"/>
      <x:c r="C55" s="32"/>
      <x:c r="D55" s="32"/>
      <x:c r="E55" s="32"/>
      <x:c r="F55" s="23" t="str">
        <x:f>IFERROR(VLOOKUP(E55,'Plan kont'!$A$4:$B$35,2,FALSE),"")</x:f>
      </x:c>
      <x:c r="G55" s="40"/>
      <x:c r="H55" s="40"/>
      <x:c r="I55" s="32"/>
      <x:c r="J55" s="32"/>
      <x:c r="K55" s="23" t="str">
        <x:f>IF(B55="","",IF(ABS(SUMIF($B$4:$B$503,B55,$G$4:$G$503)-SUMIF($B$4:$B$503,B55,$H$4:$H$503))&lt;0.01,"OK","NIEZGODNY"))</x:f>
      </x:c>
    </x:row>
    <x:row r="56">
      <x:c r="A56" s="33"/>
      <x:c r="B56" s="32"/>
      <x:c r="C56" s="32"/>
      <x:c r="D56" s="32"/>
      <x:c r="E56" s="32"/>
      <x:c r="F56" s="23" t="str">
        <x:f>IFERROR(VLOOKUP(E56,'Plan kont'!$A$4:$B$35,2,FALSE),"")</x:f>
      </x:c>
      <x:c r="G56" s="40"/>
      <x:c r="H56" s="40"/>
      <x:c r="I56" s="32"/>
      <x:c r="J56" s="32"/>
      <x:c r="K56" s="23" t="str">
        <x:f>IF(B56="","",IF(ABS(SUMIF($B$4:$B$503,B56,$G$4:$G$503)-SUMIF($B$4:$B$503,B56,$H$4:$H$503))&lt;0.01,"OK","NIEZGODNY"))</x:f>
      </x:c>
    </x:row>
    <x:row r="57">
      <x:c r="A57" s="33"/>
      <x:c r="B57" s="32"/>
      <x:c r="C57" s="32"/>
      <x:c r="D57" s="32"/>
      <x:c r="E57" s="32"/>
      <x:c r="F57" s="23" t="str">
        <x:f>IFERROR(VLOOKUP(E57,'Plan kont'!$A$4:$B$35,2,FALSE),"")</x:f>
      </x:c>
      <x:c r="G57" s="40"/>
      <x:c r="H57" s="40"/>
      <x:c r="I57" s="32"/>
      <x:c r="J57" s="32"/>
      <x:c r="K57" s="23" t="str">
        <x:f>IF(B57="","",IF(ABS(SUMIF($B$4:$B$503,B57,$G$4:$G$503)-SUMIF($B$4:$B$503,B57,$H$4:$H$503))&lt;0.01,"OK","NIEZGODNY"))</x:f>
      </x:c>
    </x:row>
    <x:row r="58">
      <x:c r="A58" s="33"/>
      <x:c r="B58" s="32"/>
      <x:c r="C58" s="32"/>
      <x:c r="D58" s="32"/>
      <x:c r="E58" s="32"/>
      <x:c r="F58" s="23" t="str">
        <x:f>IFERROR(VLOOKUP(E58,'Plan kont'!$A$4:$B$35,2,FALSE),"")</x:f>
      </x:c>
      <x:c r="G58" s="40"/>
      <x:c r="H58" s="40"/>
      <x:c r="I58" s="32"/>
      <x:c r="J58" s="32"/>
      <x:c r="K58" s="23" t="str">
        <x:f>IF(B58="","",IF(ABS(SUMIF($B$4:$B$503,B58,$G$4:$G$503)-SUMIF($B$4:$B$503,B58,$H$4:$H$503))&lt;0.01,"OK","NIEZGODNY"))</x:f>
      </x:c>
    </x:row>
    <x:row r="59">
      <x:c r="A59" s="33"/>
      <x:c r="B59" s="32"/>
      <x:c r="C59" s="32"/>
      <x:c r="D59" s="32"/>
      <x:c r="E59" s="32"/>
      <x:c r="F59" s="23" t="str">
        <x:f>IFERROR(VLOOKUP(E59,'Plan kont'!$A$4:$B$35,2,FALSE),"")</x:f>
      </x:c>
      <x:c r="G59" s="40"/>
      <x:c r="H59" s="40"/>
      <x:c r="I59" s="32"/>
      <x:c r="J59" s="32"/>
      <x:c r="K59" s="23" t="str">
        <x:f>IF(B59="","",IF(ABS(SUMIF($B$4:$B$503,B59,$G$4:$G$503)-SUMIF($B$4:$B$503,B59,$H$4:$H$503))&lt;0.01,"OK","NIEZGODNY"))</x:f>
      </x:c>
    </x:row>
    <x:row r="60">
      <x:c r="A60" s="33"/>
      <x:c r="B60" s="32"/>
      <x:c r="C60" s="32"/>
      <x:c r="D60" s="32"/>
      <x:c r="E60" s="32"/>
      <x:c r="F60" s="23" t="str">
        <x:f>IFERROR(VLOOKUP(E60,'Plan kont'!$A$4:$B$35,2,FALSE),"")</x:f>
      </x:c>
      <x:c r="G60" s="40"/>
      <x:c r="H60" s="40"/>
      <x:c r="I60" s="32"/>
      <x:c r="J60" s="32"/>
      <x:c r="K60" s="23" t="str">
        <x:f>IF(B60="","",IF(ABS(SUMIF($B$4:$B$503,B60,$G$4:$G$503)-SUMIF($B$4:$B$503,B60,$H$4:$H$503))&lt;0.01,"OK","NIEZGODNY"))</x:f>
      </x:c>
    </x:row>
    <x:row r="61">
      <x:c r="A61" s="33"/>
      <x:c r="B61" s="32"/>
      <x:c r="C61" s="32"/>
      <x:c r="D61" s="32"/>
      <x:c r="E61" s="32"/>
      <x:c r="F61" s="23" t="str">
        <x:f>IFERROR(VLOOKUP(E61,'Plan kont'!$A$4:$B$35,2,FALSE),"")</x:f>
      </x:c>
      <x:c r="G61" s="40"/>
      <x:c r="H61" s="40"/>
      <x:c r="I61" s="32"/>
      <x:c r="J61" s="32"/>
      <x:c r="K61" s="23" t="str">
        <x:f>IF(B61="","",IF(ABS(SUMIF($B$4:$B$503,B61,$G$4:$G$503)-SUMIF($B$4:$B$503,B61,$H$4:$H$503))&lt;0.01,"OK","NIEZGODNY"))</x:f>
      </x:c>
    </x:row>
    <x:row r="62">
      <x:c r="A62" s="33"/>
      <x:c r="B62" s="32"/>
      <x:c r="C62" s="32"/>
      <x:c r="D62" s="32"/>
      <x:c r="E62" s="32"/>
      <x:c r="F62" s="23" t="str">
        <x:f>IFERROR(VLOOKUP(E62,'Plan kont'!$A$4:$B$35,2,FALSE),"")</x:f>
      </x:c>
      <x:c r="G62" s="40"/>
      <x:c r="H62" s="40"/>
      <x:c r="I62" s="32"/>
      <x:c r="J62" s="32"/>
      <x:c r="K62" s="23" t="str">
        <x:f>IF(B62="","",IF(ABS(SUMIF($B$4:$B$503,B62,$G$4:$G$503)-SUMIF($B$4:$B$503,B62,$H$4:$H$503))&lt;0.01,"OK","NIEZGODNY"))</x:f>
      </x:c>
    </x:row>
    <x:row r="63">
      <x:c r="A63" s="33"/>
      <x:c r="B63" s="32"/>
      <x:c r="C63" s="32"/>
      <x:c r="D63" s="32"/>
      <x:c r="E63" s="32"/>
      <x:c r="F63" s="23" t="str">
        <x:f>IFERROR(VLOOKUP(E63,'Plan kont'!$A$4:$B$35,2,FALSE),"")</x:f>
      </x:c>
      <x:c r="G63" s="40"/>
      <x:c r="H63" s="40"/>
      <x:c r="I63" s="32"/>
      <x:c r="J63" s="32"/>
      <x:c r="K63" s="23" t="str">
        <x:f>IF(B63="","",IF(ABS(SUMIF($B$4:$B$503,B63,$G$4:$G$503)-SUMIF($B$4:$B$503,B63,$H$4:$H$503))&lt;0.01,"OK","NIEZGODNY"))</x:f>
      </x:c>
    </x:row>
    <x:row r="64">
      <x:c r="A64" s="33"/>
      <x:c r="B64" s="32"/>
      <x:c r="C64" s="32"/>
      <x:c r="D64" s="32"/>
      <x:c r="E64" s="32"/>
      <x:c r="F64" s="23" t="str">
        <x:f>IFERROR(VLOOKUP(E64,'Plan kont'!$A$4:$B$35,2,FALSE),"")</x:f>
      </x:c>
      <x:c r="G64" s="40"/>
      <x:c r="H64" s="40"/>
      <x:c r="I64" s="32"/>
      <x:c r="J64" s="32"/>
      <x:c r="K64" s="23" t="str">
        <x:f>IF(B64="","",IF(ABS(SUMIF($B$4:$B$503,B64,$G$4:$G$503)-SUMIF($B$4:$B$503,B64,$H$4:$H$503))&lt;0.01,"OK","NIEZGODNY"))</x:f>
      </x:c>
    </x:row>
    <x:row r="65">
      <x:c r="A65" s="33"/>
      <x:c r="B65" s="32"/>
      <x:c r="C65" s="32"/>
      <x:c r="D65" s="32"/>
      <x:c r="E65" s="32"/>
      <x:c r="F65" s="23" t="str">
        <x:f>IFERROR(VLOOKUP(E65,'Plan kont'!$A$4:$B$35,2,FALSE),"")</x:f>
      </x:c>
      <x:c r="G65" s="40"/>
      <x:c r="H65" s="40"/>
      <x:c r="I65" s="32"/>
      <x:c r="J65" s="32"/>
      <x:c r="K65" s="23" t="str">
        <x:f>IF(B65="","",IF(ABS(SUMIF($B$4:$B$503,B65,$G$4:$G$503)-SUMIF($B$4:$B$503,B65,$H$4:$H$503))&lt;0.01,"OK","NIEZGODNY"))</x:f>
      </x:c>
    </x:row>
    <x:row r="66">
      <x:c r="A66" s="33"/>
      <x:c r="B66" s="32"/>
      <x:c r="C66" s="32"/>
      <x:c r="D66" s="32"/>
      <x:c r="E66" s="32"/>
      <x:c r="F66" s="23" t="str">
        <x:f>IFERROR(VLOOKUP(E66,'Plan kont'!$A$4:$B$35,2,FALSE),"")</x:f>
      </x:c>
      <x:c r="G66" s="40"/>
      <x:c r="H66" s="40"/>
      <x:c r="I66" s="32"/>
      <x:c r="J66" s="32"/>
      <x:c r="K66" s="23" t="str">
        <x:f>IF(B66="","",IF(ABS(SUMIF($B$4:$B$503,B66,$G$4:$G$503)-SUMIF($B$4:$B$503,B66,$H$4:$H$503))&lt;0.01,"OK","NIEZGODNY"))</x:f>
      </x:c>
    </x:row>
    <x:row r="67">
      <x:c r="A67" s="33"/>
      <x:c r="B67" s="32"/>
      <x:c r="C67" s="32"/>
      <x:c r="D67" s="32"/>
      <x:c r="E67" s="32"/>
      <x:c r="F67" s="23" t="str">
        <x:f>IFERROR(VLOOKUP(E67,'Plan kont'!$A$4:$B$35,2,FALSE),"")</x:f>
      </x:c>
      <x:c r="G67" s="40"/>
      <x:c r="H67" s="40"/>
      <x:c r="I67" s="32"/>
      <x:c r="J67" s="32"/>
      <x:c r="K67" s="23" t="str">
        <x:f>IF(B67="","",IF(ABS(SUMIF($B$4:$B$503,B67,$G$4:$G$503)-SUMIF($B$4:$B$503,B67,$H$4:$H$503))&lt;0.01,"OK","NIEZGODNY"))</x:f>
      </x:c>
    </x:row>
    <x:row r="68">
      <x:c r="A68" s="33"/>
      <x:c r="B68" s="32"/>
      <x:c r="C68" s="32"/>
      <x:c r="D68" s="32"/>
      <x:c r="E68" s="32"/>
      <x:c r="F68" s="23" t="str">
        <x:f>IFERROR(VLOOKUP(E68,'Plan kont'!$A$4:$B$35,2,FALSE),"")</x:f>
      </x:c>
      <x:c r="G68" s="40"/>
      <x:c r="H68" s="40"/>
      <x:c r="I68" s="32"/>
      <x:c r="J68" s="32"/>
      <x:c r="K68" s="23" t="str">
        <x:f>IF(B68="","",IF(ABS(SUMIF($B$4:$B$503,B68,$G$4:$G$503)-SUMIF($B$4:$B$503,B68,$H$4:$H$503))&lt;0.01,"OK","NIEZGODNY"))</x:f>
      </x:c>
    </x:row>
    <x:row r="69">
      <x:c r="A69" s="33"/>
      <x:c r="B69" s="32"/>
      <x:c r="C69" s="32"/>
      <x:c r="D69" s="32"/>
      <x:c r="E69" s="32"/>
      <x:c r="F69" s="23" t="str">
        <x:f>IFERROR(VLOOKUP(E69,'Plan kont'!$A$4:$B$35,2,FALSE),"")</x:f>
      </x:c>
      <x:c r="G69" s="40"/>
      <x:c r="H69" s="40"/>
      <x:c r="I69" s="32"/>
      <x:c r="J69" s="32"/>
      <x:c r="K69" s="23" t="str">
        <x:f>IF(B69="","",IF(ABS(SUMIF($B$4:$B$503,B69,$G$4:$G$503)-SUMIF($B$4:$B$503,B69,$H$4:$H$503))&lt;0.01,"OK","NIEZGODNY"))</x:f>
      </x:c>
    </x:row>
    <x:row r="70">
      <x:c r="A70" s="33"/>
      <x:c r="B70" s="32"/>
      <x:c r="C70" s="32"/>
      <x:c r="D70" s="32"/>
      <x:c r="E70" s="32"/>
      <x:c r="F70" s="23" t="str">
        <x:f>IFERROR(VLOOKUP(E70,'Plan kont'!$A$4:$B$35,2,FALSE),"")</x:f>
      </x:c>
      <x:c r="G70" s="40"/>
      <x:c r="H70" s="40"/>
      <x:c r="I70" s="32"/>
      <x:c r="J70" s="32"/>
      <x:c r="K70" s="23" t="str">
        <x:f>IF(B70="","",IF(ABS(SUMIF($B$4:$B$503,B70,$G$4:$G$503)-SUMIF($B$4:$B$503,B70,$H$4:$H$503))&lt;0.01,"OK","NIEZGODNY"))</x:f>
      </x:c>
    </x:row>
    <x:row r="71">
      <x:c r="A71" s="33"/>
      <x:c r="B71" s="32"/>
      <x:c r="C71" s="32"/>
      <x:c r="D71" s="32"/>
      <x:c r="E71" s="32"/>
      <x:c r="F71" s="23" t="str">
        <x:f>IFERROR(VLOOKUP(E71,'Plan kont'!$A$4:$B$35,2,FALSE),"")</x:f>
      </x:c>
      <x:c r="G71" s="40"/>
      <x:c r="H71" s="40"/>
      <x:c r="I71" s="32"/>
      <x:c r="J71" s="32"/>
      <x:c r="K71" s="23" t="str">
        <x:f>IF(B71="","",IF(ABS(SUMIF($B$4:$B$503,B71,$G$4:$G$503)-SUMIF($B$4:$B$503,B71,$H$4:$H$503))&lt;0.01,"OK","NIEZGODNY"))</x:f>
      </x:c>
    </x:row>
    <x:row r="72">
      <x:c r="A72" s="33"/>
      <x:c r="B72" s="32"/>
      <x:c r="C72" s="32"/>
      <x:c r="D72" s="32"/>
      <x:c r="E72" s="32"/>
      <x:c r="F72" s="23" t="str">
        <x:f>IFERROR(VLOOKUP(E72,'Plan kont'!$A$4:$B$35,2,FALSE),"")</x:f>
      </x:c>
      <x:c r="G72" s="40"/>
      <x:c r="H72" s="40"/>
      <x:c r="I72" s="32"/>
      <x:c r="J72" s="32"/>
      <x:c r="K72" s="23" t="str">
        <x:f>IF(B72="","",IF(ABS(SUMIF($B$4:$B$503,B72,$G$4:$G$503)-SUMIF($B$4:$B$503,B72,$H$4:$H$503))&lt;0.01,"OK","NIEZGODNY"))</x:f>
      </x:c>
    </x:row>
    <x:row r="73">
      <x:c r="A73" s="33"/>
      <x:c r="B73" s="32"/>
      <x:c r="C73" s="32"/>
      <x:c r="D73" s="32"/>
      <x:c r="E73" s="32"/>
      <x:c r="F73" s="23" t="str">
        <x:f>IFERROR(VLOOKUP(E73,'Plan kont'!$A$4:$B$35,2,FALSE),"")</x:f>
      </x:c>
      <x:c r="G73" s="40"/>
      <x:c r="H73" s="40"/>
      <x:c r="I73" s="32"/>
      <x:c r="J73" s="32"/>
      <x:c r="K73" s="23" t="str">
        <x:f>IF(B73="","",IF(ABS(SUMIF($B$4:$B$503,B73,$G$4:$G$503)-SUMIF($B$4:$B$503,B73,$H$4:$H$503))&lt;0.01,"OK","NIEZGODNY"))</x:f>
      </x:c>
    </x:row>
    <x:row r="74">
      <x:c r="A74" s="33"/>
      <x:c r="B74" s="32"/>
      <x:c r="C74" s="32"/>
      <x:c r="D74" s="32"/>
      <x:c r="E74" s="32"/>
      <x:c r="F74" s="23" t="str">
        <x:f>IFERROR(VLOOKUP(E74,'Plan kont'!$A$4:$B$35,2,FALSE),"")</x:f>
      </x:c>
      <x:c r="G74" s="40"/>
      <x:c r="H74" s="40"/>
      <x:c r="I74" s="32"/>
      <x:c r="J74" s="32"/>
      <x:c r="K74" s="23" t="str">
        <x:f>IF(B74="","",IF(ABS(SUMIF($B$4:$B$503,B74,$G$4:$G$503)-SUMIF($B$4:$B$503,B74,$H$4:$H$503))&lt;0.01,"OK","NIEZGODNY"))</x:f>
      </x:c>
    </x:row>
    <x:row r="75">
      <x:c r="A75" s="33"/>
      <x:c r="B75" s="32"/>
      <x:c r="C75" s="32"/>
      <x:c r="D75" s="32"/>
      <x:c r="E75" s="32"/>
      <x:c r="F75" s="23" t="str">
        <x:f>IFERROR(VLOOKUP(E75,'Plan kont'!$A$4:$B$35,2,FALSE),"")</x:f>
      </x:c>
      <x:c r="G75" s="40"/>
      <x:c r="H75" s="40"/>
      <x:c r="I75" s="32"/>
      <x:c r="J75" s="32"/>
      <x:c r="K75" s="23" t="str">
        <x:f>IF(B75="","",IF(ABS(SUMIF($B$4:$B$503,B75,$G$4:$G$503)-SUMIF($B$4:$B$503,B75,$H$4:$H$503))&lt;0.01,"OK","NIEZGODNY"))</x:f>
      </x:c>
    </x:row>
    <x:row r="76">
      <x:c r="A76" s="33"/>
      <x:c r="B76" s="32"/>
      <x:c r="C76" s="32"/>
      <x:c r="D76" s="32"/>
      <x:c r="E76" s="32"/>
      <x:c r="F76" s="23" t="str">
        <x:f>IFERROR(VLOOKUP(E76,'Plan kont'!$A$4:$B$35,2,FALSE),"")</x:f>
      </x:c>
      <x:c r="G76" s="40"/>
      <x:c r="H76" s="40"/>
      <x:c r="I76" s="32"/>
      <x:c r="J76" s="32"/>
      <x:c r="K76" s="23" t="str">
        <x:f>IF(B76="","",IF(ABS(SUMIF($B$4:$B$503,B76,$G$4:$G$503)-SUMIF($B$4:$B$503,B76,$H$4:$H$503))&lt;0.01,"OK","NIEZGODNY"))</x:f>
      </x:c>
    </x:row>
    <x:row r="77">
      <x:c r="A77" s="33"/>
      <x:c r="B77" s="32"/>
      <x:c r="C77" s="32"/>
      <x:c r="D77" s="32"/>
      <x:c r="E77" s="32"/>
      <x:c r="F77" s="23" t="str">
        <x:f>IFERROR(VLOOKUP(E77,'Plan kont'!$A$4:$B$35,2,FALSE),"")</x:f>
      </x:c>
      <x:c r="G77" s="40"/>
      <x:c r="H77" s="40"/>
      <x:c r="I77" s="32"/>
      <x:c r="J77" s="32"/>
      <x:c r="K77" s="23" t="str">
        <x:f>IF(B77="","",IF(ABS(SUMIF($B$4:$B$503,B77,$G$4:$G$503)-SUMIF($B$4:$B$503,B77,$H$4:$H$503))&lt;0.01,"OK","NIEZGODNY"))</x:f>
      </x:c>
    </x:row>
    <x:row r="78">
      <x:c r="A78" s="33"/>
      <x:c r="B78" s="32"/>
      <x:c r="C78" s="32"/>
      <x:c r="D78" s="32"/>
      <x:c r="E78" s="32"/>
      <x:c r="F78" s="23" t="str">
        <x:f>IFERROR(VLOOKUP(E78,'Plan kont'!$A$4:$B$35,2,FALSE),"")</x:f>
      </x:c>
      <x:c r="G78" s="40"/>
      <x:c r="H78" s="40"/>
      <x:c r="I78" s="32"/>
      <x:c r="J78" s="32"/>
      <x:c r="K78" s="23" t="str">
        <x:f>IF(B78="","",IF(ABS(SUMIF($B$4:$B$503,B78,$G$4:$G$503)-SUMIF($B$4:$B$503,B78,$H$4:$H$503))&lt;0.01,"OK","NIEZGODNY"))</x:f>
      </x:c>
    </x:row>
    <x:row r="79">
      <x:c r="A79" s="33"/>
      <x:c r="B79" s="32"/>
      <x:c r="C79" s="32"/>
      <x:c r="D79" s="32"/>
      <x:c r="E79" s="32"/>
      <x:c r="F79" s="23" t="str">
        <x:f>IFERROR(VLOOKUP(E79,'Plan kont'!$A$4:$B$35,2,FALSE),"")</x:f>
      </x:c>
      <x:c r="G79" s="40"/>
      <x:c r="H79" s="40"/>
      <x:c r="I79" s="32"/>
      <x:c r="J79" s="32"/>
      <x:c r="K79" s="23" t="str">
        <x:f>IF(B79="","",IF(ABS(SUMIF($B$4:$B$503,B79,$G$4:$G$503)-SUMIF($B$4:$B$503,B79,$H$4:$H$503))&lt;0.01,"OK","NIEZGODNY"))</x:f>
      </x:c>
    </x:row>
    <x:row r="80">
      <x:c r="A80" s="33"/>
      <x:c r="B80" s="32"/>
      <x:c r="C80" s="32"/>
      <x:c r="D80" s="32"/>
      <x:c r="E80" s="32"/>
      <x:c r="F80" s="23" t="str">
        <x:f>IFERROR(VLOOKUP(E80,'Plan kont'!$A$4:$B$35,2,FALSE),"")</x:f>
      </x:c>
      <x:c r="G80" s="40"/>
      <x:c r="H80" s="40"/>
      <x:c r="I80" s="32"/>
      <x:c r="J80" s="32"/>
      <x:c r="K80" s="23" t="str">
        <x:f>IF(B80="","",IF(ABS(SUMIF($B$4:$B$503,B80,$G$4:$G$503)-SUMIF($B$4:$B$503,B80,$H$4:$H$503))&lt;0.01,"OK","NIEZGODNY"))</x:f>
      </x:c>
    </x:row>
    <x:row r="81">
      <x:c r="A81" s="33"/>
      <x:c r="B81" s="32"/>
      <x:c r="C81" s="32"/>
      <x:c r="D81" s="32"/>
      <x:c r="E81" s="32"/>
      <x:c r="F81" s="23" t="str">
        <x:f>IFERROR(VLOOKUP(E81,'Plan kont'!$A$4:$B$35,2,FALSE),"")</x:f>
      </x:c>
      <x:c r="G81" s="40"/>
      <x:c r="H81" s="40"/>
      <x:c r="I81" s="32"/>
      <x:c r="J81" s="32"/>
      <x:c r="K81" s="23" t="str">
        <x:f>IF(B81="","",IF(ABS(SUMIF($B$4:$B$503,B81,$G$4:$G$503)-SUMIF($B$4:$B$503,B81,$H$4:$H$503))&lt;0.01,"OK","NIEZGODNY"))</x:f>
      </x:c>
    </x:row>
    <x:row r="82">
      <x:c r="A82" s="33"/>
      <x:c r="B82" s="32"/>
      <x:c r="C82" s="32"/>
      <x:c r="D82" s="32"/>
      <x:c r="E82" s="32"/>
      <x:c r="F82" s="23" t="str">
        <x:f>IFERROR(VLOOKUP(E82,'Plan kont'!$A$4:$B$35,2,FALSE),"")</x:f>
      </x:c>
      <x:c r="G82" s="40"/>
      <x:c r="H82" s="40"/>
      <x:c r="I82" s="32"/>
      <x:c r="J82" s="32"/>
      <x:c r="K82" s="23" t="str">
        <x:f>IF(B82="","",IF(ABS(SUMIF($B$4:$B$503,B82,$G$4:$G$503)-SUMIF($B$4:$B$503,B82,$H$4:$H$503))&lt;0.01,"OK","NIEZGODNY"))</x:f>
      </x:c>
    </x:row>
    <x:row r="83">
      <x:c r="A83" s="33"/>
      <x:c r="B83" s="32"/>
      <x:c r="C83" s="32"/>
      <x:c r="D83" s="32"/>
      <x:c r="E83" s="32"/>
      <x:c r="F83" s="23" t="str">
        <x:f>IFERROR(VLOOKUP(E83,'Plan kont'!$A$4:$B$35,2,FALSE),"")</x:f>
      </x:c>
      <x:c r="G83" s="40"/>
      <x:c r="H83" s="40"/>
      <x:c r="I83" s="32"/>
      <x:c r="J83" s="32"/>
      <x:c r="K83" s="23" t="str">
        <x:f>IF(B83="","",IF(ABS(SUMIF($B$4:$B$503,B83,$G$4:$G$503)-SUMIF($B$4:$B$503,B83,$H$4:$H$503))&lt;0.01,"OK","NIEZGODNY"))</x:f>
      </x:c>
    </x:row>
    <x:row r="84">
      <x:c r="A84" s="33"/>
      <x:c r="B84" s="32"/>
      <x:c r="C84" s="32"/>
      <x:c r="D84" s="32"/>
      <x:c r="E84" s="32"/>
      <x:c r="F84" s="23" t="str">
        <x:f>IFERROR(VLOOKUP(E84,'Plan kont'!$A$4:$B$35,2,FALSE),"")</x:f>
      </x:c>
      <x:c r="G84" s="40"/>
      <x:c r="H84" s="40"/>
      <x:c r="I84" s="32"/>
      <x:c r="J84" s="32"/>
      <x:c r="K84" s="23" t="str">
        <x:f>IF(B84="","",IF(ABS(SUMIF($B$4:$B$503,B84,$G$4:$G$503)-SUMIF($B$4:$B$503,B84,$H$4:$H$503))&lt;0.01,"OK","NIEZGODNY"))</x:f>
      </x:c>
    </x:row>
    <x:row r="85">
      <x:c r="A85" s="33"/>
      <x:c r="B85" s="32"/>
      <x:c r="C85" s="32"/>
      <x:c r="D85" s="32"/>
      <x:c r="E85" s="32"/>
      <x:c r="F85" s="23" t="str">
        <x:f>IFERROR(VLOOKUP(E85,'Plan kont'!$A$4:$B$35,2,FALSE),"")</x:f>
      </x:c>
      <x:c r="G85" s="40"/>
      <x:c r="H85" s="40"/>
      <x:c r="I85" s="32"/>
      <x:c r="J85" s="32"/>
      <x:c r="K85" s="23" t="str">
        <x:f>IF(B85="","",IF(ABS(SUMIF($B$4:$B$503,B85,$G$4:$G$503)-SUMIF($B$4:$B$503,B85,$H$4:$H$503))&lt;0.01,"OK","NIEZGODNY"))</x:f>
      </x:c>
    </x:row>
    <x:row r="86">
      <x:c r="A86" s="33"/>
      <x:c r="B86" s="32"/>
      <x:c r="C86" s="32"/>
      <x:c r="D86" s="32"/>
      <x:c r="E86" s="32"/>
      <x:c r="F86" s="23" t="str">
        <x:f>IFERROR(VLOOKUP(E86,'Plan kont'!$A$4:$B$35,2,FALSE),"")</x:f>
      </x:c>
      <x:c r="G86" s="40"/>
      <x:c r="H86" s="40"/>
      <x:c r="I86" s="32"/>
      <x:c r="J86" s="32"/>
      <x:c r="K86" s="23" t="str">
        <x:f>IF(B86="","",IF(ABS(SUMIF($B$4:$B$503,B86,$G$4:$G$503)-SUMIF($B$4:$B$503,B86,$H$4:$H$503))&lt;0.01,"OK","NIEZGODNY"))</x:f>
      </x:c>
    </x:row>
    <x:row r="87">
      <x:c r="A87" s="33"/>
      <x:c r="B87" s="32"/>
      <x:c r="C87" s="32"/>
      <x:c r="D87" s="32"/>
      <x:c r="E87" s="32"/>
      <x:c r="F87" s="23" t="str">
        <x:f>IFERROR(VLOOKUP(E87,'Plan kont'!$A$4:$B$35,2,FALSE),"")</x:f>
      </x:c>
      <x:c r="G87" s="40"/>
      <x:c r="H87" s="40"/>
      <x:c r="I87" s="32"/>
      <x:c r="J87" s="32"/>
      <x:c r="K87" s="23" t="str">
        <x:f>IF(B87="","",IF(ABS(SUMIF($B$4:$B$503,B87,$G$4:$G$503)-SUMIF($B$4:$B$503,B87,$H$4:$H$503))&lt;0.01,"OK","NIEZGODNY"))</x:f>
      </x:c>
    </x:row>
    <x:row r="88">
      <x:c r="A88" s="33"/>
      <x:c r="B88" s="32"/>
      <x:c r="C88" s="32"/>
      <x:c r="D88" s="32"/>
      <x:c r="E88" s="32"/>
      <x:c r="F88" s="23" t="str">
        <x:f>IFERROR(VLOOKUP(E88,'Plan kont'!$A$4:$B$35,2,FALSE),"")</x:f>
      </x:c>
      <x:c r="G88" s="40"/>
      <x:c r="H88" s="40"/>
      <x:c r="I88" s="32"/>
      <x:c r="J88" s="32"/>
      <x:c r="K88" s="23" t="str">
        <x:f>IF(B88="","",IF(ABS(SUMIF($B$4:$B$503,B88,$G$4:$G$503)-SUMIF($B$4:$B$503,B88,$H$4:$H$503))&lt;0.01,"OK","NIEZGODNY"))</x:f>
      </x:c>
    </x:row>
    <x:row r="89">
      <x:c r="A89" s="33"/>
      <x:c r="B89" s="32"/>
      <x:c r="C89" s="32"/>
      <x:c r="D89" s="32"/>
      <x:c r="E89" s="32"/>
      <x:c r="F89" s="23" t="str">
        <x:f>IFERROR(VLOOKUP(E89,'Plan kont'!$A$4:$B$35,2,FALSE),"")</x:f>
      </x:c>
      <x:c r="G89" s="40"/>
      <x:c r="H89" s="40"/>
      <x:c r="I89" s="32"/>
      <x:c r="J89" s="32"/>
      <x:c r="K89" s="23" t="str">
        <x:f>IF(B89="","",IF(ABS(SUMIF($B$4:$B$503,B89,$G$4:$G$503)-SUMIF($B$4:$B$503,B89,$H$4:$H$503))&lt;0.01,"OK","NIEZGODNY"))</x:f>
      </x:c>
    </x:row>
    <x:row r="90">
      <x:c r="A90" s="33"/>
      <x:c r="B90" s="32"/>
      <x:c r="C90" s="32"/>
      <x:c r="D90" s="32"/>
      <x:c r="E90" s="32"/>
      <x:c r="F90" s="23" t="str">
        <x:f>IFERROR(VLOOKUP(E90,'Plan kont'!$A$4:$B$35,2,FALSE),"")</x:f>
      </x:c>
      <x:c r="G90" s="40"/>
      <x:c r="H90" s="40"/>
      <x:c r="I90" s="32"/>
      <x:c r="J90" s="32"/>
      <x:c r="K90" s="23" t="str">
        <x:f>IF(B90="","",IF(ABS(SUMIF($B$4:$B$503,B90,$G$4:$G$503)-SUMIF($B$4:$B$503,B90,$H$4:$H$503))&lt;0.01,"OK","NIEZGODNY"))</x:f>
      </x:c>
    </x:row>
    <x:row r="91">
      <x:c r="A91" s="33"/>
      <x:c r="B91" s="32"/>
      <x:c r="C91" s="32"/>
      <x:c r="D91" s="32"/>
      <x:c r="E91" s="32"/>
      <x:c r="F91" s="23" t="str">
        <x:f>IFERROR(VLOOKUP(E91,'Plan kont'!$A$4:$B$35,2,FALSE),"")</x:f>
      </x:c>
      <x:c r="G91" s="40"/>
      <x:c r="H91" s="40"/>
      <x:c r="I91" s="32"/>
      <x:c r="J91" s="32"/>
      <x:c r="K91" s="23" t="str">
        <x:f>IF(B91="","",IF(ABS(SUMIF($B$4:$B$503,B91,$G$4:$G$503)-SUMIF($B$4:$B$503,B91,$H$4:$H$503))&lt;0.01,"OK","NIEZGODNY"))</x:f>
      </x:c>
    </x:row>
    <x:row r="92">
      <x:c r="A92" s="33"/>
      <x:c r="B92" s="32"/>
      <x:c r="C92" s="32"/>
      <x:c r="D92" s="32"/>
      <x:c r="E92" s="32"/>
      <x:c r="F92" s="23" t="str">
        <x:f>IFERROR(VLOOKUP(E92,'Plan kont'!$A$4:$B$35,2,FALSE),"")</x:f>
      </x:c>
      <x:c r="G92" s="40"/>
      <x:c r="H92" s="40"/>
      <x:c r="I92" s="32"/>
      <x:c r="J92" s="32"/>
      <x:c r="K92" s="23" t="str">
        <x:f>IF(B92="","",IF(ABS(SUMIF($B$4:$B$503,B92,$G$4:$G$503)-SUMIF($B$4:$B$503,B92,$H$4:$H$503))&lt;0.01,"OK","NIEZGODNY"))</x:f>
      </x:c>
    </x:row>
    <x:row r="93">
      <x:c r="A93" s="33"/>
      <x:c r="B93" s="32"/>
      <x:c r="C93" s="32"/>
      <x:c r="D93" s="32"/>
      <x:c r="E93" s="32"/>
      <x:c r="F93" s="23" t="str">
        <x:f>IFERROR(VLOOKUP(E93,'Plan kont'!$A$4:$B$35,2,FALSE),"")</x:f>
      </x:c>
      <x:c r="G93" s="40"/>
      <x:c r="H93" s="40"/>
      <x:c r="I93" s="32"/>
      <x:c r="J93" s="32"/>
      <x:c r="K93" s="23" t="str">
        <x:f>IF(B93="","",IF(ABS(SUMIF($B$4:$B$503,B93,$G$4:$G$503)-SUMIF($B$4:$B$503,B93,$H$4:$H$503))&lt;0.01,"OK","NIEZGODNY"))</x:f>
      </x:c>
    </x:row>
    <x:row r="94">
      <x:c r="A94" s="33"/>
      <x:c r="B94" s="32"/>
      <x:c r="C94" s="32"/>
      <x:c r="D94" s="32"/>
      <x:c r="E94" s="32"/>
      <x:c r="F94" s="23" t="str">
        <x:f>IFERROR(VLOOKUP(E94,'Plan kont'!$A$4:$B$35,2,FALSE),"")</x:f>
      </x:c>
      <x:c r="G94" s="40"/>
      <x:c r="H94" s="40"/>
      <x:c r="I94" s="32"/>
      <x:c r="J94" s="32"/>
      <x:c r="K94" s="23" t="str">
        <x:f>IF(B94="","",IF(ABS(SUMIF($B$4:$B$503,B94,$G$4:$G$503)-SUMIF($B$4:$B$503,B94,$H$4:$H$503))&lt;0.01,"OK","NIEZGODNY"))</x:f>
      </x:c>
    </x:row>
    <x:row r="95">
      <x:c r="A95" s="33"/>
      <x:c r="B95" s="32"/>
      <x:c r="C95" s="32"/>
      <x:c r="D95" s="32"/>
      <x:c r="E95" s="32"/>
      <x:c r="F95" s="23" t="str">
        <x:f>IFERROR(VLOOKUP(E95,'Plan kont'!$A$4:$B$35,2,FALSE),"")</x:f>
      </x:c>
      <x:c r="G95" s="40"/>
      <x:c r="H95" s="40"/>
      <x:c r="I95" s="32"/>
      <x:c r="J95" s="32"/>
      <x:c r="K95" s="23" t="str">
        <x:f>IF(B95="","",IF(ABS(SUMIF($B$4:$B$503,B95,$G$4:$G$503)-SUMIF($B$4:$B$503,B95,$H$4:$H$503))&lt;0.01,"OK","NIEZGODNY"))</x:f>
      </x:c>
    </x:row>
    <x:row r="96">
      <x:c r="A96" s="33"/>
      <x:c r="B96" s="32"/>
      <x:c r="C96" s="32"/>
      <x:c r="D96" s="32"/>
      <x:c r="E96" s="32"/>
      <x:c r="F96" s="23" t="str">
        <x:f>IFERROR(VLOOKUP(E96,'Plan kont'!$A$4:$B$35,2,FALSE),"")</x:f>
      </x:c>
      <x:c r="G96" s="40"/>
      <x:c r="H96" s="40"/>
      <x:c r="I96" s="32"/>
      <x:c r="J96" s="32"/>
      <x:c r="K96" s="23" t="str">
        <x:f>IF(B96="","",IF(ABS(SUMIF($B$4:$B$503,B96,$G$4:$G$503)-SUMIF($B$4:$B$503,B96,$H$4:$H$503))&lt;0.01,"OK","NIEZGODNY"))</x:f>
      </x:c>
    </x:row>
    <x:row r="97">
      <x:c r="A97" s="33"/>
      <x:c r="B97" s="32"/>
      <x:c r="C97" s="32"/>
      <x:c r="D97" s="32"/>
      <x:c r="E97" s="32"/>
      <x:c r="F97" s="23" t="str">
        <x:f>IFERROR(VLOOKUP(E97,'Plan kont'!$A$4:$B$35,2,FALSE),"")</x:f>
      </x:c>
      <x:c r="G97" s="40"/>
      <x:c r="H97" s="40"/>
      <x:c r="I97" s="32"/>
      <x:c r="J97" s="32"/>
      <x:c r="K97" s="23" t="str">
        <x:f>IF(B97="","",IF(ABS(SUMIF($B$4:$B$503,B97,$G$4:$G$503)-SUMIF($B$4:$B$503,B97,$H$4:$H$503))&lt;0.01,"OK","NIEZGODNY"))</x:f>
      </x:c>
    </x:row>
    <x:row r="98">
      <x:c r="A98" s="33"/>
      <x:c r="B98" s="32"/>
      <x:c r="C98" s="32"/>
      <x:c r="D98" s="32"/>
      <x:c r="E98" s="32"/>
      <x:c r="F98" s="23" t="str">
        <x:f>IFERROR(VLOOKUP(E98,'Plan kont'!$A$4:$B$35,2,FALSE),"")</x:f>
      </x:c>
      <x:c r="G98" s="40"/>
      <x:c r="H98" s="40"/>
      <x:c r="I98" s="32"/>
      <x:c r="J98" s="32"/>
      <x:c r="K98" s="23" t="str">
        <x:f>IF(B98="","",IF(ABS(SUMIF($B$4:$B$503,B98,$G$4:$G$503)-SUMIF($B$4:$B$503,B98,$H$4:$H$503))&lt;0.01,"OK","NIEZGODNY"))</x:f>
      </x:c>
    </x:row>
    <x:row r="99">
      <x:c r="A99" s="33"/>
      <x:c r="B99" s="32"/>
      <x:c r="C99" s="32"/>
      <x:c r="D99" s="32"/>
      <x:c r="E99" s="32"/>
      <x:c r="F99" s="23" t="str">
        <x:f>IFERROR(VLOOKUP(E99,'Plan kont'!$A$4:$B$35,2,FALSE),"")</x:f>
      </x:c>
      <x:c r="G99" s="40"/>
      <x:c r="H99" s="40"/>
      <x:c r="I99" s="32"/>
      <x:c r="J99" s="32"/>
      <x:c r="K99" s="23" t="str">
        <x:f>IF(B99="","",IF(ABS(SUMIF($B$4:$B$503,B99,$G$4:$G$503)-SUMIF($B$4:$B$503,B99,$H$4:$H$503))&lt;0.01,"OK","NIEZGODNY"))</x:f>
      </x:c>
    </x:row>
    <x:row r="100">
      <x:c r="A100" s="33"/>
      <x:c r="B100" s="32"/>
      <x:c r="C100" s="32"/>
      <x:c r="D100" s="32"/>
      <x:c r="E100" s="32"/>
      <x:c r="F100" s="23" t="str">
        <x:f>IFERROR(VLOOKUP(E100,'Plan kont'!$A$4:$B$35,2,FALSE),"")</x:f>
      </x:c>
      <x:c r="G100" s="40"/>
      <x:c r="H100" s="40"/>
      <x:c r="I100" s="32"/>
      <x:c r="J100" s="32"/>
      <x:c r="K100" s="23" t="str">
        <x:f>IF(B100="","",IF(ABS(SUMIF($B$4:$B$503,B100,$G$4:$G$503)-SUMIF($B$4:$B$503,B100,$H$4:$H$503))&lt;0.01,"OK","NIEZGODNY"))</x:f>
      </x:c>
    </x:row>
    <x:row r="101">
      <x:c r="A101" s="33"/>
      <x:c r="B101" s="32"/>
      <x:c r="C101" s="32"/>
      <x:c r="D101" s="32"/>
      <x:c r="E101" s="32"/>
      <x:c r="F101" s="23" t="str">
        <x:f>IFERROR(VLOOKUP(E101,'Plan kont'!$A$4:$B$35,2,FALSE),"")</x:f>
      </x:c>
      <x:c r="G101" s="40"/>
      <x:c r="H101" s="40"/>
      <x:c r="I101" s="32"/>
      <x:c r="J101" s="32"/>
      <x:c r="K101" s="23" t="str">
        <x:f>IF(B101="","",IF(ABS(SUMIF($B$4:$B$503,B101,$G$4:$G$503)-SUMIF($B$4:$B$503,B101,$H$4:$H$503))&lt;0.01,"OK","NIEZGODNY"))</x:f>
      </x:c>
    </x:row>
    <x:row r="102">
      <x:c r="A102" s="33"/>
      <x:c r="B102" s="32"/>
      <x:c r="C102" s="32"/>
      <x:c r="D102" s="32"/>
      <x:c r="E102" s="32"/>
      <x:c r="F102" s="23" t="str">
        <x:f>IFERROR(VLOOKUP(E102,'Plan kont'!$A$4:$B$35,2,FALSE),"")</x:f>
      </x:c>
      <x:c r="G102" s="40"/>
      <x:c r="H102" s="40"/>
      <x:c r="I102" s="32"/>
      <x:c r="J102" s="32"/>
      <x:c r="K102" s="23" t="str">
        <x:f>IF(B102="","",IF(ABS(SUMIF($B$4:$B$503,B102,$G$4:$G$503)-SUMIF($B$4:$B$503,B102,$H$4:$H$503))&lt;0.01,"OK","NIEZGODNY"))</x:f>
      </x:c>
    </x:row>
    <x:row r="103">
      <x:c r="A103" s="33"/>
      <x:c r="B103" s="32"/>
      <x:c r="C103" s="32"/>
      <x:c r="D103" s="32"/>
      <x:c r="E103" s="32"/>
      <x:c r="F103" s="23" t="str">
        <x:f>IFERROR(VLOOKUP(E103,'Plan kont'!$A$4:$B$35,2,FALSE),"")</x:f>
      </x:c>
      <x:c r="G103" s="40"/>
      <x:c r="H103" s="40"/>
      <x:c r="I103" s="32"/>
      <x:c r="J103" s="32"/>
      <x:c r="K103" s="23" t="str">
        <x:f>IF(B103="","",IF(ABS(SUMIF($B$4:$B$503,B103,$G$4:$G$503)-SUMIF($B$4:$B$503,B103,$H$4:$H$503))&lt;0.01,"OK","NIEZGODNY"))</x:f>
      </x:c>
    </x:row>
    <x:row r="104">
      <x:c r="A104" s="33"/>
      <x:c r="B104" s="32"/>
      <x:c r="C104" s="32"/>
      <x:c r="D104" s="32"/>
      <x:c r="E104" s="32"/>
      <x:c r="F104" s="23" t="str">
        <x:f>IFERROR(VLOOKUP(E104,'Plan kont'!$A$4:$B$35,2,FALSE),"")</x:f>
      </x:c>
      <x:c r="G104" s="40"/>
      <x:c r="H104" s="40"/>
      <x:c r="I104" s="32"/>
      <x:c r="J104" s="32"/>
      <x:c r="K104" s="23" t="str">
        <x:f>IF(B104="","",IF(ABS(SUMIF($B$4:$B$503,B104,$G$4:$G$503)-SUMIF($B$4:$B$503,B104,$H$4:$H$503))&lt;0.01,"OK","NIEZGODNY"))</x:f>
      </x:c>
    </x:row>
    <x:row r="105">
      <x:c r="A105" s="33"/>
      <x:c r="B105" s="32"/>
      <x:c r="C105" s="32"/>
      <x:c r="D105" s="32"/>
      <x:c r="E105" s="32"/>
      <x:c r="F105" s="23" t="str">
        <x:f>IFERROR(VLOOKUP(E105,'Plan kont'!$A$4:$B$35,2,FALSE),"")</x:f>
      </x:c>
      <x:c r="G105" s="40"/>
      <x:c r="H105" s="40"/>
      <x:c r="I105" s="32"/>
      <x:c r="J105" s="32"/>
      <x:c r="K105" s="23" t="str">
        <x:f>IF(B105="","",IF(ABS(SUMIF($B$4:$B$503,B105,$G$4:$G$503)-SUMIF($B$4:$B$503,B105,$H$4:$H$503))&lt;0.01,"OK","NIEZGODNY"))</x:f>
      </x:c>
    </x:row>
    <x:row r="106">
      <x:c r="A106" s="33"/>
      <x:c r="B106" s="32"/>
      <x:c r="C106" s="32"/>
      <x:c r="D106" s="32"/>
      <x:c r="E106" s="32"/>
      <x:c r="F106" s="23" t="str">
        <x:f>IFERROR(VLOOKUP(E106,'Plan kont'!$A$4:$B$35,2,FALSE),"")</x:f>
      </x:c>
      <x:c r="G106" s="40"/>
      <x:c r="H106" s="40"/>
      <x:c r="I106" s="32"/>
      <x:c r="J106" s="32"/>
      <x:c r="K106" s="23" t="str">
        <x:f>IF(B106="","",IF(ABS(SUMIF($B$4:$B$503,B106,$G$4:$G$503)-SUMIF($B$4:$B$503,B106,$H$4:$H$503))&lt;0.01,"OK","NIEZGODNY"))</x:f>
      </x:c>
    </x:row>
    <x:row r="107">
      <x:c r="A107" s="33"/>
      <x:c r="B107" s="32"/>
      <x:c r="C107" s="32"/>
      <x:c r="D107" s="32"/>
      <x:c r="E107" s="32"/>
      <x:c r="F107" s="23" t="str">
        <x:f>IFERROR(VLOOKUP(E107,'Plan kont'!$A$4:$B$35,2,FALSE),"")</x:f>
      </x:c>
      <x:c r="G107" s="40"/>
      <x:c r="H107" s="40"/>
      <x:c r="I107" s="32"/>
      <x:c r="J107" s="32"/>
      <x:c r="K107" s="23" t="str">
        <x:f>IF(B107="","",IF(ABS(SUMIF($B$4:$B$503,B107,$G$4:$G$503)-SUMIF($B$4:$B$503,B107,$H$4:$H$503))&lt;0.01,"OK","NIEZGODNY"))</x:f>
      </x:c>
    </x:row>
    <x:row r="108">
      <x:c r="A108" s="33"/>
      <x:c r="B108" s="32"/>
      <x:c r="C108" s="32"/>
      <x:c r="D108" s="32"/>
      <x:c r="E108" s="32"/>
      <x:c r="F108" s="23" t="str">
        <x:f>IFERROR(VLOOKUP(E108,'Plan kont'!$A$4:$B$35,2,FALSE),"")</x:f>
      </x:c>
      <x:c r="G108" s="40"/>
      <x:c r="H108" s="40"/>
      <x:c r="I108" s="32"/>
      <x:c r="J108" s="32"/>
      <x:c r="K108" s="23" t="str">
        <x:f>IF(B108="","",IF(ABS(SUMIF($B$4:$B$503,B108,$G$4:$G$503)-SUMIF($B$4:$B$503,B108,$H$4:$H$503))&lt;0.01,"OK","NIEZGODNY"))</x:f>
      </x:c>
    </x:row>
    <x:row r="109">
      <x:c r="A109" s="33"/>
      <x:c r="B109" s="32"/>
      <x:c r="C109" s="32"/>
      <x:c r="D109" s="32"/>
      <x:c r="E109" s="32"/>
      <x:c r="F109" s="23" t="str">
        <x:f>IFERROR(VLOOKUP(E109,'Plan kont'!$A$4:$B$35,2,FALSE),"")</x:f>
      </x:c>
      <x:c r="G109" s="40"/>
      <x:c r="H109" s="40"/>
      <x:c r="I109" s="32"/>
      <x:c r="J109" s="32"/>
      <x:c r="K109" s="23" t="str">
        <x:f>IF(B109="","",IF(ABS(SUMIF($B$4:$B$503,B109,$G$4:$G$503)-SUMIF($B$4:$B$503,B109,$H$4:$H$503))&lt;0.01,"OK","NIEZGODNY"))</x:f>
      </x:c>
    </x:row>
    <x:row r="110">
      <x:c r="A110" s="33"/>
      <x:c r="B110" s="32"/>
      <x:c r="C110" s="32"/>
      <x:c r="D110" s="32"/>
      <x:c r="E110" s="32"/>
      <x:c r="F110" s="23" t="str">
        <x:f>IFERROR(VLOOKUP(E110,'Plan kont'!$A$4:$B$35,2,FALSE),"")</x:f>
      </x:c>
      <x:c r="G110" s="40"/>
      <x:c r="H110" s="40"/>
      <x:c r="I110" s="32"/>
      <x:c r="J110" s="32"/>
      <x:c r="K110" s="23" t="str">
        <x:f>IF(B110="","",IF(ABS(SUMIF($B$4:$B$503,B110,$G$4:$G$503)-SUMIF($B$4:$B$503,B110,$H$4:$H$503))&lt;0.01,"OK","NIEZGODNY"))</x:f>
      </x:c>
    </x:row>
    <x:row r="111">
      <x:c r="A111" s="33"/>
      <x:c r="B111" s="32"/>
      <x:c r="C111" s="32"/>
      <x:c r="D111" s="32"/>
      <x:c r="E111" s="32"/>
      <x:c r="F111" s="23" t="str">
        <x:f>IFERROR(VLOOKUP(E111,'Plan kont'!$A$4:$B$35,2,FALSE),"")</x:f>
      </x:c>
      <x:c r="G111" s="40"/>
      <x:c r="H111" s="40"/>
      <x:c r="I111" s="32"/>
      <x:c r="J111" s="32"/>
      <x:c r="K111" s="23" t="str">
        <x:f>IF(B111="","",IF(ABS(SUMIF($B$4:$B$503,B111,$G$4:$G$503)-SUMIF($B$4:$B$503,B111,$H$4:$H$503))&lt;0.01,"OK","NIEZGODNY"))</x:f>
      </x:c>
    </x:row>
    <x:row r="112">
      <x:c r="A112" s="33"/>
      <x:c r="B112" s="32"/>
      <x:c r="C112" s="32"/>
      <x:c r="D112" s="32"/>
      <x:c r="E112" s="32"/>
      <x:c r="F112" s="23" t="str">
        <x:f>IFERROR(VLOOKUP(E112,'Plan kont'!$A$4:$B$35,2,FALSE),"")</x:f>
      </x:c>
      <x:c r="G112" s="40"/>
      <x:c r="H112" s="40"/>
      <x:c r="I112" s="32"/>
      <x:c r="J112" s="32"/>
      <x:c r="K112" s="23" t="str">
        <x:f>IF(B112="","",IF(ABS(SUMIF($B$4:$B$503,B112,$G$4:$G$503)-SUMIF($B$4:$B$503,B112,$H$4:$H$503))&lt;0.01,"OK","NIEZGODNY"))</x:f>
      </x:c>
    </x:row>
    <x:row r="113">
      <x:c r="A113" s="33"/>
      <x:c r="B113" s="32"/>
      <x:c r="C113" s="32"/>
      <x:c r="D113" s="32"/>
      <x:c r="E113" s="32"/>
      <x:c r="F113" s="23" t="str">
        <x:f>IFERROR(VLOOKUP(E113,'Plan kont'!$A$4:$B$35,2,FALSE),"")</x:f>
      </x:c>
      <x:c r="G113" s="40"/>
      <x:c r="H113" s="40"/>
      <x:c r="I113" s="32"/>
      <x:c r="J113" s="32"/>
      <x:c r="K113" s="23" t="str">
        <x:f>IF(B113="","",IF(ABS(SUMIF($B$4:$B$503,B113,$G$4:$G$503)-SUMIF($B$4:$B$503,B113,$H$4:$H$503))&lt;0.01,"OK","NIEZGODNY"))</x:f>
      </x:c>
    </x:row>
    <x:row r="114">
      <x:c r="A114" s="33"/>
      <x:c r="B114" s="32"/>
      <x:c r="C114" s="32"/>
      <x:c r="D114" s="32"/>
      <x:c r="E114" s="32"/>
      <x:c r="F114" s="23" t="str">
        <x:f>IFERROR(VLOOKUP(E114,'Plan kont'!$A$4:$B$35,2,FALSE),"")</x:f>
      </x:c>
      <x:c r="G114" s="40"/>
      <x:c r="H114" s="40"/>
      <x:c r="I114" s="32"/>
      <x:c r="J114" s="32"/>
      <x:c r="K114" s="23" t="str">
        <x:f>IF(B114="","",IF(ABS(SUMIF($B$4:$B$503,B114,$G$4:$G$503)-SUMIF($B$4:$B$503,B114,$H$4:$H$503))&lt;0.01,"OK","NIEZGODNY"))</x:f>
      </x:c>
    </x:row>
    <x:row r="115">
      <x:c r="A115" s="33"/>
      <x:c r="B115" s="32"/>
      <x:c r="C115" s="32"/>
      <x:c r="D115" s="32"/>
      <x:c r="E115" s="32"/>
      <x:c r="F115" s="23" t="str">
        <x:f>IFERROR(VLOOKUP(E115,'Plan kont'!$A$4:$B$35,2,FALSE),"")</x:f>
      </x:c>
      <x:c r="G115" s="40"/>
      <x:c r="H115" s="40"/>
      <x:c r="I115" s="32"/>
      <x:c r="J115" s="32"/>
      <x:c r="K115" s="23" t="str">
        <x:f>IF(B115="","",IF(ABS(SUMIF($B$4:$B$503,B115,$G$4:$G$503)-SUMIF($B$4:$B$503,B115,$H$4:$H$503))&lt;0.01,"OK","NIEZGODNY"))</x:f>
      </x:c>
    </x:row>
    <x:row r="116">
      <x:c r="A116" s="33"/>
      <x:c r="B116" s="32"/>
      <x:c r="C116" s="32"/>
      <x:c r="D116" s="32"/>
      <x:c r="E116" s="32"/>
      <x:c r="F116" s="23" t="str">
        <x:f>IFERROR(VLOOKUP(E116,'Plan kont'!$A$4:$B$35,2,FALSE),"")</x:f>
      </x:c>
      <x:c r="G116" s="40"/>
      <x:c r="H116" s="40"/>
      <x:c r="I116" s="32"/>
      <x:c r="J116" s="32"/>
      <x:c r="K116" s="23" t="str">
        <x:f>IF(B116="","",IF(ABS(SUMIF($B$4:$B$503,B116,$G$4:$G$503)-SUMIF($B$4:$B$503,B116,$H$4:$H$503))&lt;0.01,"OK","NIEZGODNY"))</x:f>
      </x:c>
    </x:row>
    <x:row r="117">
      <x:c r="A117" s="33"/>
      <x:c r="B117" s="32"/>
      <x:c r="C117" s="32"/>
      <x:c r="D117" s="32"/>
      <x:c r="E117" s="32"/>
      <x:c r="F117" s="23" t="str">
        <x:f>IFERROR(VLOOKUP(E117,'Plan kont'!$A$4:$B$35,2,FALSE),"")</x:f>
      </x:c>
      <x:c r="G117" s="40"/>
      <x:c r="H117" s="40"/>
      <x:c r="I117" s="32"/>
      <x:c r="J117" s="32"/>
      <x:c r="K117" s="23" t="str">
        <x:f>IF(B117="","",IF(ABS(SUMIF($B$4:$B$503,B117,$G$4:$G$503)-SUMIF($B$4:$B$503,B117,$H$4:$H$503))&lt;0.01,"OK","NIEZGODNY"))</x:f>
      </x:c>
    </x:row>
    <x:row r="118">
      <x:c r="A118" s="33"/>
      <x:c r="B118" s="32"/>
      <x:c r="C118" s="32"/>
      <x:c r="D118" s="32"/>
      <x:c r="E118" s="32"/>
      <x:c r="F118" s="23" t="str">
        <x:f>IFERROR(VLOOKUP(E118,'Plan kont'!$A$4:$B$35,2,FALSE),"")</x:f>
      </x:c>
      <x:c r="G118" s="40"/>
      <x:c r="H118" s="40"/>
      <x:c r="I118" s="32"/>
      <x:c r="J118" s="32"/>
      <x:c r="K118" s="23" t="str">
        <x:f>IF(B118="","",IF(ABS(SUMIF($B$4:$B$503,B118,$G$4:$G$503)-SUMIF($B$4:$B$503,B118,$H$4:$H$503))&lt;0.01,"OK","NIEZGODNY"))</x:f>
      </x:c>
    </x:row>
    <x:row r="119">
      <x:c r="A119" s="33"/>
      <x:c r="B119" s="32"/>
      <x:c r="C119" s="32"/>
      <x:c r="D119" s="32"/>
      <x:c r="E119" s="32"/>
      <x:c r="F119" s="23" t="str">
        <x:f>IFERROR(VLOOKUP(E119,'Plan kont'!$A$4:$B$35,2,FALSE),"")</x:f>
      </x:c>
      <x:c r="G119" s="40"/>
      <x:c r="H119" s="40"/>
      <x:c r="I119" s="32"/>
      <x:c r="J119" s="32"/>
      <x:c r="K119" s="23" t="str">
        <x:f>IF(B119="","",IF(ABS(SUMIF($B$4:$B$503,B119,$G$4:$G$503)-SUMIF($B$4:$B$503,B119,$H$4:$H$503))&lt;0.01,"OK","NIEZGODNY"))</x:f>
      </x:c>
    </x:row>
    <x:row r="120">
      <x:c r="A120" s="33"/>
      <x:c r="B120" s="32"/>
      <x:c r="C120" s="32"/>
      <x:c r="D120" s="32"/>
      <x:c r="E120" s="32"/>
      <x:c r="F120" s="23" t="str">
        <x:f>IFERROR(VLOOKUP(E120,'Plan kont'!$A$4:$B$35,2,FALSE),"")</x:f>
      </x:c>
      <x:c r="G120" s="40"/>
      <x:c r="H120" s="40"/>
      <x:c r="I120" s="32"/>
      <x:c r="J120" s="32"/>
      <x:c r="K120" s="23" t="str">
        <x:f>IF(B120="","",IF(ABS(SUMIF($B$4:$B$503,B120,$G$4:$G$503)-SUMIF($B$4:$B$503,B120,$H$4:$H$503))&lt;0.01,"OK","NIEZGODNY"))</x:f>
      </x:c>
    </x:row>
    <x:row r="121">
      <x:c r="A121" s="33"/>
      <x:c r="B121" s="32"/>
      <x:c r="C121" s="32"/>
      <x:c r="D121" s="32"/>
      <x:c r="E121" s="32"/>
      <x:c r="F121" s="23" t="str">
        <x:f>IFERROR(VLOOKUP(E121,'Plan kont'!$A$4:$B$35,2,FALSE),"")</x:f>
      </x:c>
      <x:c r="G121" s="40"/>
      <x:c r="H121" s="40"/>
      <x:c r="I121" s="32"/>
      <x:c r="J121" s="32"/>
      <x:c r="K121" s="23" t="str">
        <x:f>IF(B121="","",IF(ABS(SUMIF($B$4:$B$503,B121,$G$4:$G$503)-SUMIF($B$4:$B$503,B121,$H$4:$H$503))&lt;0.01,"OK","NIEZGODNY"))</x:f>
      </x:c>
    </x:row>
    <x:row r="122">
      <x:c r="A122" s="33"/>
      <x:c r="B122" s="32"/>
      <x:c r="C122" s="32"/>
      <x:c r="D122" s="32"/>
      <x:c r="E122" s="32"/>
      <x:c r="F122" s="23" t="str">
        <x:f>IFERROR(VLOOKUP(E122,'Plan kont'!$A$4:$B$35,2,FALSE),"")</x:f>
      </x:c>
      <x:c r="G122" s="40"/>
      <x:c r="H122" s="40"/>
      <x:c r="I122" s="32"/>
      <x:c r="J122" s="32"/>
      <x:c r="K122" s="23" t="str">
        <x:f>IF(B122="","",IF(ABS(SUMIF($B$4:$B$503,B122,$G$4:$G$503)-SUMIF($B$4:$B$503,B122,$H$4:$H$503))&lt;0.01,"OK","NIEZGODNY"))</x:f>
      </x:c>
    </x:row>
    <x:row r="123">
      <x:c r="A123" s="33"/>
      <x:c r="B123" s="32"/>
      <x:c r="C123" s="32"/>
      <x:c r="D123" s="32"/>
      <x:c r="E123" s="32"/>
      <x:c r="F123" s="23" t="str">
        <x:f>IFERROR(VLOOKUP(E123,'Plan kont'!$A$4:$B$35,2,FALSE),"")</x:f>
      </x:c>
      <x:c r="G123" s="40"/>
      <x:c r="H123" s="40"/>
      <x:c r="I123" s="32"/>
      <x:c r="J123" s="32"/>
      <x:c r="K123" s="23" t="str">
        <x:f>IF(B123="","",IF(ABS(SUMIF($B$4:$B$503,B123,$G$4:$G$503)-SUMIF($B$4:$B$503,B123,$H$4:$H$503))&lt;0.01,"OK","NIEZGODNY"))</x:f>
      </x:c>
    </x:row>
    <x:row r="124">
      <x:c r="A124" s="33"/>
      <x:c r="B124" s="32"/>
      <x:c r="C124" s="32"/>
      <x:c r="D124" s="32"/>
      <x:c r="E124" s="32"/>
      <x:c r="F124" s="23" t="str">
        <x:f>IFERROR(VLOOKUP(E124,'Plan kont'!$A$4:$B$35,2,FALSE),"")</x:f>
      </x:c>
      <x:c r="G124" s="40"/>
      <x:c r="H124" s="40"/>
      <x:c r="I124" s="32"/>
      <x:c r="J124" s="32"/>
      <x:c r="K124" s="23" t="str">
        <x:f>IF(B124="","",IF(ABS(SUMIF($B$4:$B$503,B124,$G$4:$G$503)-SUMIF($B$4:$B$503,B124,$H$4:$H$503))&lt;0.01,"OK","NIEZGODNY"))</x:f>
      </x:c>
    </x:row>
    <x:row r="125">
      <x:c r="A125" s="33"/>
      <x:c r="B125" s="32"/>
      <x:c r="C125" s="32"/>
      <x:c r="D125" s="32"/>
      <x:c r="E125" s="32"/>
      <x:c r="F125" s="23" t="str">
        <x:f>IFERROR(VLOOKUP(E125,'Plan kont'!$A$4:$B$35,2,FALSE),"")</x:f>
      </x:c>
      <x:c r="G125" s="40"/>
      <x:c r="H125" s="40"/>
      <x:c r="I125" s="32"/>
      <x:c r="J125" s="32"/>
      <x:c r="K125" s="23" t="str">
        <x:f>IF(B125="","",IF(ABS(SUMIF($B$4:$B$503,B125,$G$4:$G$503)-SUMIF($B$4:$B$503,B125,$H$4:$H$503))&lt;0.01,"OK","NIEZGODNY"))</x:f>
      </x:c>
    </x:row>
    <x:row r="126">
      <x:c r="A126" s="33"/>
      <x:c r="B126" s="32"/>
      <x:c r="C126" s="32"/>
      <x:c r="D126" s="32"/>
      <x:c r="E126" s="32"/>
      <x:c r="F126" s="23" t="str">
        <x:f>IFERROR(VLOOKUP(E126,'Plan kont'!$A$4:$B$35,2,FALSE),"")</x:f>
      </x:c>
      <x:c r="G126" s="40"/>
      <x:c r="H126" s="40"/>
      <x:c r="I126" s="32"/>
      <x:c r="J126" s="32"/>
      <x:c r="K126" s="23" t="str">
        <x:f>IF(B126="","",IF(ABS(SUMIF($B$4:$B$503,B126,$G$4:$G$503)-SUMIF($B$4:$B$503,B126,$H$4:$H$503))&lt;0.01,"OK","NIEZGODNY"))</x:f>
      </x:c>
    </x:row>
    <x:row r="127">
      <x:c r="A127" s="33"/>
      <x:c r="B127" s="32"/>
      <x:c r="C127" s="32"/>
      <x:c r="D127" s="32"/>
      <x:c r="E127" s="32"/>
      <x:c r="F127" s="23" t="str">
        <x:f>IFERROR(VLOOKUP(E127,'Plan kont'!$A$4:$B$35,2,FALSE),"")</x:f>
      </x:c>
      <x:c r="G127" s="40"/>
      <x:c r="H127" s="40"/>
      <x:c r="I127" s="32"/>
      <x:c r="J127" s="32"/>
      <x:c r="K127" s="23" t="str">
        <x:f>IF(B127="","",IF(ABS(SUMIF($B$4:$B$503,B127,$G$4:$G$503)-SUMIF($B$4:$B$503,B127,$H$4:$H$503))&lt;0.01,"OK","NIEZGODNY"))</x:f>
      </x:c>
    </x:row>
    <x:row r="128">
      <x:c r="A128" s="33"/>
      <x:c r="B128" s="32"/>
      <x:c r="C128" s="32"/>
      <x:c r="D128" s="32"/>
      <x:c r="E128" s="32"/>
      <x:c r="F128" s="23" t="str">
        <x:f>IFERROR(VLOOKUP(E128,'Plan kont'!$A$4:$B$35,2,FALSE),"")</x:f>
      </x:c>
      <x:c r="G128" s="40"/>
      <x:c r="H128" s="40"/>
      <x:c r="I128" s="32"/>
      <x:c r="J128" s="32"/>
      <x:c r="K128" s="23" t="str">
        <x:f>IF(B128="","",IF(ABS(SUMIF($B$4:$B$503,B128,$G$4:$G$503)-SUMIF($B$4:$B$503,B128,$H$4:$H$503))&lt;0.01,"OK","NIEZGODNY"))</x:f>
      </x:c>
    </x:row>
    <x:row r="129">
      <x:c r="A129" s="33"/>
      <x:c r="B129" s="32"/>
      <x:c r="C129" s="32"/>
      <x:c r="D129" s="32"/>
      <x:c r="E129" s="32"/>
      <x:c r="F129" s="23" t="str">
        <x:f>IFERROR(VLOOKUP(E129,'Plan kont'!$A$4:$B$35,2,FALSE),"")</x:f>
      </x:c>
      <x:c r="G129" s="40"/>
      <x:c r="H129" s="40"/>
      <x:c r="I129" s="32"/>
      <x:c r="J129" s="32"/>
      <x:c r="K129" s="23" t="str">
        <x:f>IF(B129="","",IF(ABS(SUMIF($B$4:$B$503,B129,$G$4:$G$503)-SUMIF($B$4:$B$503,B129,$H$4:$H$503))&lt;0.01,"OK","NIEZGODNY"))</x:f>
      </x:c>
    </x:row>
    <x:row r="130">
      <x:c r="A130" s="33"/>
      <x:c r="B130" s="32"/>
      <x:c r="C130" s="32"/>
      <x:c r="D130" s="32"/>
      <x:c r="E130" s="32"/>
      <x:c r="F130" s="23" t="str">
        <x:f>IFERROR(VLOOKUP(E130,'Plan kont'!$A$4:$B$35,2,FALSE),"")</x:f>
      </x:c>
      <x:c r="G130" s="40"/>
      <x:c r="H130" s="40"/>
      <x:c r="I130" s="32"/>
      <x:c r="J130" s="32"/>
      <x:c r="K130" s="23" t="str">
        <x:f>IF(B130="","",IF(ABS(SUMIF($B$4:$B$503,B130,$G$4:$G$503)-SUMIF($B$4:$B$503,B130,$H$4:$H$503))&lt;0.01,"OK","NIEZGODNY"))</x:f>
      </x:c>
    </x:row>
    <x:row r="131">
      <x:c r="A131" s="33"/>
      <x:c r="B131" s="32"/>
      <x:c r="C131" s="32"/>
      <x:c r="D131" s="32"/>
      <x:c r="E131" s="32"/>
      <x:c r="F131" s="23" t="str">
        <x:f>IFERROR(VLOOKUP(E131,'Plan kont'!$A$4:$B$35,2,FALSE),"")</x:f>
      </x:c>
      <x:c r="G131" s="40"/>
      <x:c r="H131" s="40"/>
      <x:c r="I131" s="32"/>
      <x:c r="J131" s="32"/>
      <x:c r="K131" s="23" t="str">
        <x:f>IF(B131="","",IF(ABS(SUMIF($B$4:$B$503,B131,$G$4:$G$503)-SUMIF($B$4:$B$503,B131,$H$4:$H$503))&lt;0.01,"OK","NIEZGODNY"))</x:f>
      </x:c>
    </x:row>
    <x:row r="132">
      <x:c r="A132" s="33"/>
      <x:c r="B132" s="32"/>
      <x:c r="C132" s="32"/>
      <x:c r="D132" s="32"/>
      <x:c r="E132" s="32"/>
      <x:c r="F132" s="23" t="str">
        <x:f>IFERROR(VLOOKUP(E132,'Plan kont'!$A$4:$B$35,2,FALSE),"")</x:f>
      </x:c>
      <x:c r="G132" s="40"/>
      <x:c r="H132" s="40"/>
      <x:c r="I132" s="32"/>
      <x:c r="J132" s="32"/>
      <x:c r="K132" s="23" t="str">
        <x:f>IF(B132="","",IF(ABS(SUMIF($B$4:$B$503,B132,$G$4:$G$503)-SUMIF($B$4:$B$503,B132,$H$4:$H$503))&lt;0.01,"OK","NIEZGODNY"))</x:f>
      </x:c>
    </x:row>
    <x:row r="133">
      <x:c r="A133" s="33"/>
      <x:c r="B133" s="32"/>
      <x:c r="C133" s="32"/>
      <x:c r="D133" s="32"/>
      <x:c r="E133" s="32"/>
      <x:c r="F133" s="23" t="str">
        <x:f>IFERROR(VLOOKUP(E133,'Plan kont'!$A$4:$B$35,2,FALSE),"")</x:f>
      </x:c>
      <x:c r="G133" s="40"/>
      <x:c r="H133" s="40"/>
      <x:c r="I133" s="32"/>
      <x:c r="J133" s="32"/>
      <x:c r="K133" s="23" t="str">
        <x:f>IF(B133="","",IF(ABS(SUMIF($B$4:$B$503,B133,$G$4:$G$503)-SUMIF($B$4:$B$503,B133,$H$4:$H$503))&lt;0.01,"OK","NIEZGODNY"))</x:f>
      </x:c>
    </x:row>
    <x:row r="134">
      <x:c r="A134" s="33"/>
      <x:c r="B134" s="32"/>
      <x:c r="C134" s="32"/>
      <x:c r="D134" s="32"/>
      <x:c r="E134" s="32"/>
      <x:c r="F134" s="23" t="str">
        <x:f>IFERROR(VLOOKUP(E134,'Plan kont'!$A$4:$B$35,2,FALSE),"")</x:f>
      </x:c>
      <x:c r="G134" s="40"/>
      <x:c r="H134" s="40"/>
      <x:c r="I134" s="32"/>
      <x:c r="J134" s="32"/>
      <x:c r="K134" s="23" t="str">
        <x:f>IF(B134="","",IF(ABS(SUMIF($B$4:$B$503,B134,$G$4:$G$503)-SUMIF($B$4:$B$503,B134,$H$4:$H$503))&lt;0.01,"OK","NIEZGODNY"))</x:f>
      </x:c>
    </x:row>
    <x:row r="135">
      <x:c r="A135" s="33"/>
      <x:c r="B135" s="32"/>
      <x:c r="C135" s="32"/>
      <x:c r="D135" s="32"/>
      <x:c r="E135" s="32"/>
      <x:c r="F135" s="23" t="str">
        <x:f>IFERROR(VLOOKUP(E135,'Plan kont'!$A$4:$B$35,2,FALSE),"")</x:f>
      </x:c>
      <x:c r="G135" s="40"/>
      <x:c r="H135" s="40"/>
      <x:c r="I135" s="32"/>
      <x:c r="J135" s="32"/>
      <x:c r="K135" s="23" t="str">
        <x:f>IF(B135="","",IF(ABS(SUMIF($B$4:$B$503,B135,$G$4:$G$503)-SUMIF($B$4:$B$503,B135,$H$4:$H$503))&lt;0.01,"OK","NIEZGODNY"))</x:f>
      </x:c>
    </x:row>
    <x:row r="136">
      <x:c r="A136" s="33"/>
      <x:c r="B136" s="32"/>
      <x:c r="C136" s="32"/>
      <x:c r="D136" s="32"/>
      <x:c r="E136" s="32"/>
      <x:c r="F136" s="23" t="str">
        <x:f>IFERROR(VLOOKUP(E136,'Plan kont'!$A$4:$B$35,2,FALSE),"")</x:f>
      </x:c>
      <x:c r="G136" s="40"/>
      <x:c r="H136" s="40"/>
      <x:c r="I136" s="32"/>
      <x:c r="J136" s="32"/>
      <x:c r="K136" s="23" t="str">
        <x:f>IF(B136="","",IF(ABS(SUMIF($B$4:$B$503,B136,$G$4:$G$503)-SUMIF($B$4:$B$503,B136,$H$4:$H$503))&lt;0.01,"OK","NIEZGODNY"))</x:f>
      </x:c>
    </x:row>
    <x:row r="137">
      <x:c r="A137" s="33"/>
      <x:c r="B137" s="32"/>
      <x:c r="C137" s="32"/>
      <x:c r="D137" s="32"/>
      <x:c r="E137" s="32"/>
      <x:c r="F137" s="23" t="str">
        <x:f>IFERROR(VLOOKUP(E137,'Plan kont'!$A$4:$B$35,2,FALSE),"")</x:f>
      </x:c>
      <x:c r="G137" s="40"/>
      <x:c r="H137" s="40"/>
      <x:c r="I137" s="32"/>
      <x:c r="J137" s="32"/>
      <x:c r="K137" s="23" t="str">
        <x:f>IF(B137="","",IF(ABS(SUMIF($B$4:$B$503,B137,$G$4:$G$503)-SUMIF($B$4:$B$503,B137,$H$4:$H$503))&lt;0.01,"OK","NIEZGODNY"))</x:f>
      </x:c>
    </x:row>
    <x:row r="138">
      <x:c r="A138" s="33"/>
      <x:c r="B138" s="32"/>
      <x:c r="C138" s="32"/>
      <x:c r="D138" s="32"/>
      <x:c r="E138" s="32"/>
      <x:c r="F138" s="23" t="str">
        <x:f>IFERROR(VLOOKUP(E138,'Plan kont'!$A$4:$B$35,2,FALSE),"")</x:f>
      </x:c>
      <x:c r="G138" s="40"/>
      <x:c r="H138" s="40"/>
      <x:c r="I138" s="32"/>
      <x:c r="J138" s="32"/>
      <x:c r="K138" s="23" t="str">
        <x:f>IF(B138="","",IF(ABS(SUMIF($B$4:$B$503,B138,$G$4:$G$503)-SUMIF($B$4:$B$503,B138,$H$4:$H$503))&lt;0.01,"OK","NIEZGODNY"))</x:f>
      </x:c>
    </x:row>
    <x:row r="139">
      <x:c r="A139" s="33"/>
      <x:c r="B139" s="32"/>
      <x:c r="C139" s="32"/>
      <x:c r="D139" s="32"/>
      <x:c r="E139" s="32"/>
      <x:c r="F139" s="23" t="str">
        <x:f>IFERROR(VLOOKUP(E139,'Plan kont'!$A$4:$B$35,2,FALSE),"")</x:f>
      </x:c>
      <x:c r="G139" s="40"/>
      <x:c r="H139" s="40"/>
      <x:c r="I139" s="32"/>
      <x:c r="J139" s="32"/>
      <x:c r="K139" s="23" t="str">
        <x:f>IF(B139="","",IF(ABS(SUMIF($B$4:$B$503,B139,$G$4:$G$503)-SUMIF($B$4:$B$503,B139,$H$4:$H$503))&lt;0.01,"OK","NIEZGODNY"))</x:f>
      </x:c>
    </x:row>
    <x:row r="140">
      <x:c r="A140" s="33"/>
      <x:c r="B140" s="32"/>
      <x:c r="C140" s="32"/>
      <x:c r="D140" s="32"/>
      <x:c r="E140" s="32"/>
      <x:c r="F140" s="23" t="str">
        <x:f>IFERROR(VLOOKUP(E140,'Plan kont'!$A$4:$B$35,2,FALSE),"")</x:f>
      </x:c>
      <x:c r="G140" s="40"/>
      <x:c r="H140" s="40"/>
      <x:c r="I140" s="32"/>
      <x:c r="J140" s="32"/>
      <x:c r="K140" s="23" t="str">
        <x:f>IF(B140="","",IF(ABS(SUMIF($B$4:$B$503,B140,$G$4:$G$503)-SUMIF($B$4:$B$503,B140,$H$4:$H$503))&lt;0.01,"OK","NIEZGODNY"))</x:f>
      </x:c>
    </x:row>
    <x:row r="141">
      <x:c r="A141" s="33"/>
      <x:c r="B141" s="32"/>
      <x:c r="C141" s="32"/>
      <x:c r="D141" s="32"/>
      <x:c r="E141" s="32"/>
      <x:c r="F141" s="23" t="str">
        <x:f>IFERROR(VLOOKUP(E141,'Plan kont'!$A$4:$B$35,2,FALSE),"")</x:f>
      </x:c>
      <x:c r="G141" s="40"/>
      <x:c r="H141" s="40"/>
      <x:c r="I141" s="32"/>
      <x:c r="J141" s="32"/>
      <x:c r="K141" s="23" t="str">
        <x:f>IF(B141="","",IF(ABS(SUMIF($B$4:$B$503,B141,$G$4:$G$503)-SUMIF($B$4:$B$503,B141,$H$4:$H$503))&lt;0.01,"OK","NIEZGODNY"))</x:f>
      </x:c>
    </x:row>
    <x:row r="142">
      <x:c r="A142" s="33"/>
      <x:c r="B142" s="32"/>
      <x:c r="C142" s="32"/>
      <x:c r="D142" s="32"/>
      <x:c r="E142" s="32"/>
      <x:c r="F142" s="23" t="str">
        <x:f>IFERROR(VLOOKUP(E142,'Plan kont'!$A$4:$B$35,2,FALSE),"")</x:f>
      </x:c>
      <x:c r="G142" s="40"/>
      <x:c r="H142" s="40"/>
      <x:c r="I142" s="32"/>
      <x:c r="J142" s="32"/>
      <x:c r="K142" s="23" t="str">
        <x:f>IF(B142="","",IF(ABS(SUMIF($B$4:$B$503,B142,$G$4:$G$503)-SUMIF($B$4:$B$503,B142,$H$4:$H$503))&lt;0.01,"OK","NIEZGODNY"))</x:f>
      </x:c>
    </x:row>
    <x:row r="143">
      <x:c r="A143" s="33"/>
      <x:c r="B143" s="32"/>
      <x:c r="C143" s="32"/>
      <x:c r="D143" s="32"/>
      <x:c r="E143" s="32"/>
      <x:c r="F143" s="23" t="str">
        <x:f>IFERROR(VLOOKUP(E143,'Plan kont'!$A$4:$B$35,2,FALSE),"")</x:f>
      </x:c>
      <x:c r="G143" s="40"/>
      <x:c r="H143" s="40"/>
      <x:c r="I143" s="32"/>
      <x:c r="J143" s="32"/>
      <x:c r="K143" s="23" t="str">
        <x:f>IF(B143="","",IF(ABS(SUMIF($B$4:$B$503,B143,$G$4:$G$503)-SUMIF($B$4:$B$503,B143,$H$4:$H$503))&lt;0.01,"OK","NIEZGODNY"))</x:f>
      </x:c>
    </x:row>
    <x:row r="144">
      <x:c r="A144" s="33"/>
      <x:c r="B144" s="32"/>
      <x:c r="C144" s="32"/>
      <x:c r="D144" s="32"/>
      <x:c r="E144" s="32"/>
      <x:c r="F144" s="23" t="str">
        <x:f>IFERROR(VLOOKUP(E144,'Plan kont'!$A$4:$B$35,2,FALSE),"")</x:f>
      </x:c>
      <x:c r="G144" s="40"/>
      <x:c r="H144" s="40"/>
      <x:c r="I144" s="32"/>
      <x:c r="J144" s="32"/>
      <x:c r="K144" s="23" t="str">
        <x:f>IF(B144="","",IF(ABS(SUMIF($B$4:$B$503,B144,$G$4:$G$503)-SUMIF($B$4:$B$503,B144,$H$4:$H$503))&lt;0.01,"OK","NIEZGODNY"))</x:f>
      </x:c>
    </x:row>
    <x:row r="145">
      <x:c r="A145" s="33"/>
      <x:c r="B145" s="32"/>
      <x:c r="C145" s="32"/>
      <x:c r="D145" s="32"/>
      <x:c r="E145" s="32"/>
      <x:c r="F145" s="23" t="str">
        <x:f>IFERROR(VLOOKUP(E145,'Plan kont'!$A$4:$B$35,2,FALSE),"")</x:f>
      </x:c>
      <x:c r="G145" s="40"/>
      <x:c r="H145" s="40"/>
      <x:c r="I145" s="32"/>
      <x:c r="J145" s="32"/>
      <x:c r="K145" s="23" t="str">
        <x:f>IF(B145="","",IF(ABS(SUMIF($B$4:$B$503,B145,$G$4:$G$503)-SUMIF($B$4:$B$503,B145,$H$4:$H$503))&lt;0.01,"OK","NIEZGODNY"))</x:f>
      </x:c>
    </x:row>
    <x:row r="146">
      <x:c r="A146" s="33"/>
      <x:c r="B146" s="32"/>
      <x:c r="C146" s="32"/>
      <x:c r="D146" s="32"/>
      <x:c r="E146" s="32"/>
      <x:c r="F146" s="23" t="str">
        <x:f>IFERROR(VLOOKUP(E146,'Plan kont'!$A$4:$B$35,2,FALSE),"")</x:f>
      </x:c>
      <x:c r="G146" s="40"/>
      <x:c r="H146" s="40"/>
      <x:c r="I146" s="32"/>
      <x:c r="J146" s="32"/>
      <x:c r="K146" s="23" t="str">
        <x:f>IF(B146="","",IF(ABS(SUMIF($B$4:$B$503,B146,$G$4:$G$503)-SUMIF($B$4:$B$503,B146,$H$4:$H$503))&lt;0.01,"OK","NIEZGODNY"))</x:f>
      </x:c>
    </x:row>
    <x:row r="147">
      <x:c r="A147" s="33"/>
      <x:c r="B147" s="32"/>
      <x:c r="C147" s="32"/>
      <x:c r="D147" s="32"/>
      <x:c r="E147" s="32"/>
      <x:c r="F147" s="23" t="str">
        <x:f>IFERROR(VLOOKUP(E147,'Plan kont'!$A$4:$B$35,2,FALSE),"")</x:f>
      </x:c>
      <x:c r="G147" s="40"/>
      <x:c r="H147" s="40"/>
      <x:c r="I147" s="32"/>
      <x:c r="J147" s="32"/>
      <x:c r="K147" s="23" t="str">
        <x:f>IF(B147="","",IF(ABS(SUMIF($B$4:$B$503,B147,$G$4:$G$503)-SUMIF($B$4:$B$503,B147,$H$4:$H$503))&lt;0.01,"OK","NIEZGODNY"))</x:f>
      </x:c>
    </x:row>
    <x:row r="148">
      <x:c r="A148" s="33"/>
      <x:c r="B148" s="32"/>
      <x:c r="C148" s="32"/>
      <x:c r="D148" s="32"/>
      <x:c r="E148" s="32"/>
      <x:c r="F148" s="23" t="str">
        <x:f>IFERROR(VLOOKUP(E148,'Plan kont'!$A$4:$B$35,2,FALSE),"")</x:f>
      </x:c>
      <x:c r="G148" s="40"/>
      <x:c r="H148" s="40"/>
      <x:c r="I148" s="32"/>
      <x:c r="J148" s="32"/>
      <x:c r="K148" s="23" t="str">
        <x:f>IF(B148="","",IF(ABS(SUMIF($B$4:$B$503,B148,$G$4:$G$503)-SUMIF($B$4:$B$503,B148,$H$4:$H$503))&lt;0.01,"OK","NIEZGODNY"))</x:f>
      </x:c>
    </x:row>
    <x:row r="149">
      <x:c r="A149" s="33"/>
      <x:c r="B149" s="32"/>
      <x:c r="C149" s="32"/>
      <x:c r="D149" s="32"/>
      <x:c r="E149" s="32"/>
      <x:c r="F149" s="23" t="str">
        <x:f>IFERROR(VLOOKUP(E149,'Plan kont'!$A$4:$B$35,2,FALSE),"")</x:f>
      </x:c>
      <x:c r="G149" s="40"/>
      <x:c r="H149" s="40"/>
      <x:c r="I149" s="32"/>
      <x:c r="J149" s="32"/>
      <x:c r="K149" s="23" t="str">
        <x:f>IF(B149="","",IF(ABS(SUMIF($B$4:$B$503,B149,$G$4:$G$503)-SUMIF($B$4:$B$503,B149,$H$4:$H$503))&lt;0.01,"OK","NIEZGODNY"))</x:f>
      </x:c>
    </x:row>
    <x:row r="150">
      <x:c r="A150" s="33"/>
      <x:c r="B150" s="32"/>
      <x:c r="C150" s="32"/>
      <x:c r="D150" s="32"/>
      <x:c r="E150" s="32"/>
      <x:c r="F150" s="23" t="str">
        <x:f>IFERROR(VLOOKUP(E150,'Plan kont'!$A$4:$B$35,2,FALSE),"")</x:f>
      </x:c>
      <x:c r="G150" s="40"/>
      <x:c r="H150" s="40"/>
      <x:c r="I150" s="32"/>
      <x:c r="J150" s="32"/>
      <x:c r="K150" s="23" t="str">
        <x:f>IF(B150="","",IF(ABS(SUMIF($B$4:$B$503,B150,$G$4:$G$503)-SUMIF($B$4:$B$503,B150,$H$4:$H$503))&lt;0.01,"OK","NIEZGODNY"))</x:f>
      </x:c>
    </x:row>
    <x:row r="151">
      <x:c r="A151" s="33"/>
      <x:c r="B151" s="32"/>
      <x:c r="C151" s="32"/>
      <x:c r="D151" s="32"/>
      <x:c r="E151" s="32"/>
      <x:c r="F151" s="23" t="str">
        <x:f>IFERROR(VLOOKUP(E151,'Plan kont'!$A$4:$B$35,2,FALSE),"")</x:f>
      </x:c>
      <x:c r="G151" s="40"/>
      <x:c r="H151" s="40"/>
      <x:c r="I151" s="32"/>
      <x:c r="J151" s="32"/>
      <x:c r="K151" s="23" t="str">
        <x:f>IF(B151="","",IF(ABS(SUMIF($B$4:$B$503,B151,$G$4:$G$503)-SUMIF($B$4:$B$503,B151,$H$4:$H$503))&lt;0.01,"OK","NIEZGODNY"))</x:f>
      </x:c>
    </x:row>
    <x:row r="152">
      <x:c r="A152" s="33"/>
      <x:c r="B152" s="32"/>
      <x:c r="C152" s="32"/>
      <x:c r="D152" s="32"/>
      <x:c r="E152" s="32"/>
      <x:c r="F152" s="23" t="str">
        <x:f>IFERROR(VLOOKUP(E152,'Plan kont'!$A$4:$B$35,2,FALSE),"")</x:f>
      </x:c>
      <x:c r="G152" s="40"/>
      <x:c r="H152" s="40"/>
      <x:c r="I152" s="32"/>
      <x:c r="J152" s="32"/>
      <x:c r="K152" s="23" t="str">
        <x:f>IF(B152="","",IF(ABS(SUMIF($B$4:$B$503,B152,$G$4:$G$503)-SUMIF($B$4:$B$503,B152,$H$4:$H$503))&lt;0.01,"OK","NIEZGODNY"))</x:f>
      </x:c>
    </x:row>
    <x:row r="153">
      <x:c r="A153" s="33"/>
      <x:c r="B153" s="32"/>
      <x:c r="C153" s="32"/>
      <x:c r="D153" s="32"/>
      <x:c r="E153" s="32"/>
      <x:c r="F153" s="23" t="str">
        <x:f>IFERROR(VLOOKUP(E153,'Plan kont'!$A$4:$B$35,2,FALSE),"")</x:f>
      </x:c>
      <x:c r="G153" s="40"/>
      <x:c r="H153" s="40"/>
      <x:c r="I153" s="32"/>
      <x:c r="J153" s="32"/>
      <x:c r="K153" s="23" t="str">
        <x:f>IF(B153="","",IF(ABS(SUMIF($B$4:$B$503,B153,$G$4:$G$503)-SUMIF($B$4:$B$503,B153,$H$4:$H$503))&lt;0.01,"OK","NIEZGODNY"))</x:f>
      </x:c>
    </x:row>
    <x:row r="154">
      <x:c r="A154" s="33"/>
      <x:c r="B154" s="32"/>
      <x:c r="C154" s="32"/>
      <x:c r="D154" s="32"/>
      <x:c r="E154" s="32"/>
      <x:c r="F154" s="23" t="str">
        <x:f>IFERROR(VLOOKUP(E154,'Plan kont'!$A$4:$B$35,2,FALSE),"")</x:f>
      </x:c>
      <x:c r="G154" s="40"/>
      <x:c r="H154" s="40"/>
      <x:c r="I154" s="32"/>
      <x:c r="J154" s="32"/>
      <x:c r="K154" s="23" t="str">
        <x:f>IF(B154="","",IF(ABS(SUMIF($B$4:$B$503,B154,$G$4:$G$503)-SUMIF($B$4:$B$503,B154,$H$4:$H$503))&lt;0.01,"OK","NIEZGODNY"))</x:f>
      </x:c>
    </x:row>
    <x:row r="155">
      <x:c r="A155" s="33"/>
      <x:c r="B155" s="32"/>
      <x:c r="C155" s="32"/>
      <x:c r="D155" s="32"/>
      <x:c r="E155" s="32"/>
      <x:c r="F155" s="23" t="str">
        <x:f>IFERROR(VLOOKUP(E155,'Plan kont'!$A$4:$B$35,2,FALSE),"")</x:f>
      </x:c>
      <x:c r="G155" s="40"/>
      <x:c r="H155" s="40"/>
      <x:c r="I155" s="32"/>
      <x:c r="J155" s="32"/>
      <x:c r="K155" s="23" t="str">
        <x:f>IF(B155="","",IF(ABS(SUMIF($B$4:$B$503,B155,$G$4:$G$503)-SUMIF($B$4:$B$503,B155,$H$4:$H$503))&lt;0.01,"OK","NIEZGODNY"))</x:f>
      </x:c>
    </x:row>
    <x:row r="156">
      <x:c r="A156" s="33"/>
      <x:c r="B156" s="32"/>
      <x:c r="C156" s="32"/>
      <x:c r="D156" s="32"/>
      <x:c r="E156" s="32"/>
      <x:c r="F156" s="23" t="str">
        <x:f>IFERROR(VLOOKUP(E156,'Plan kont'!$A$4:$B$35,2,FALSE),"")</x:f>
      </x:c>
      <x:c r="G156" s="40"/>
      <x:c r="H156" s="40"/>
      <x:c r="I156" s="32"/>
      <x:c r="J156" s="32"/>
      <x:c r="K156" s="23" t="str">
        <x:f>IF(B156="","",IF(ABS(SUMIF($B$4:$B$503,B156,$G$4:$G$503)-SUMIF($B$4:$B$503,B156,$H$4:$H$503))&lt;0.01,"OK","NIEZGODNY"))</x:f>
      </x:c>
    </x:row>
    <x:row r="157">
      <x:c r="A157" s="33"/>
      <x:c r="B157" s="32"/>
      <x:c r="C157" s="32"/>
      <x:c r="D157" s="32"/>
      <x:c r="E157" s="32"/>
      <x:c r="F157" s="23" t="str">
        <x:f>IFERROR(VLOOKUP(E157,'Plan kont'!$A$4:$B$35,2,FALSE),"")</x:f>
      </x:c>
      <x:c r="G157" s="40"/>
      <x:c r="H157" s="40"/>
      <x:c r="I157" s="32"/>
      <x:c r="J157" s="32"/>
      <x:c r="K157" s="23" t="str">
        <x:f>IF(B157="","",IF(ABS(SUMIF($B$4:$B$503,B157,$G$4:$G$503)-SUMIF($B$4:$B$503,B157,$H$4:$H$503))&lt;0.01,"OK","NIEZGODNY"))</x:f>
      </x:c>
    </x:row>
    <x:row r="158">
      <x:c r="A158" s="33"/>
      <x:c r="B158" s="32"/>
      <x:c r="C158" s="32"/>
      <x:c r="D158" s="32"/>
      <x:c r="E158" s="32"/>
      <x:c r="F158" s="23" t="str">
        <x:f>IFERROR(VLOOKUP(E158,'Plan kont'!$A$4:$B$35,2,FALSE),"")</x:f>
      </x:c>
      <x:c r="G158" s="40"/>
      <x:c r="H158" s="40"/>
      <x:c r="I158" s="32"/>
      <x:c r="J158" s="32"/>
      <x:c r="K158" s="23" t="str">
        <x:f>IF(B158="","",IF(ABS(SUMIF($B$4:$B$503,B158,$G$4:$G$503)-SUMIF($B$4:$B$503,B158,$H$4:$H$503))&lt;0.01,"OK","NIEZGODNY"))</x:f>
      </x:c>
    </x:row>
    <x:row r="159">
      <x:c r="A159" s="33"/>
      <x:c r="B159" s="32"/>
      <x:c r="C159" s="32"/>
      <x:c r="D159" s="32"/>
      <x:c r="E159" s="32"/>
      <x:c r="F159" s="23" t="str">
        <x:f>IFERROR(VLOOKUP(E159,'Plan kont'!$A$4:$B$35,2,FALSE),"")</x:f>
      </x:c>
      <x:c r="G159" s="40"/>
      <x:c r="H159" s="40"/>
      <x:c r="I159" s="32"/>
      <x:c r="J159" s="32"/>
      <x:c r="K159" s="23" t="str">
        <x:f>IF(B159="","",IF(ABS(SUMIF($B$4:$B$503,B159,$G$4:$G$503)-SUMIF($B$4:$B$503,B159,$H$4:$H$503))&lt;0.01,"OK","NIEZGODNY"))</x:f>
      </x:c>
    </x:row>
    <x:row r="160">
      <x:c r="A160" s="33"/>
      <x:c r="B160" s="32"/>
      <x:c r="C160" s="32"/>
      <x:c r="D160" s="32"/>
      <x:c r="E160" s="32"/>
      <x:c r="F160" s="23" t="str">
        <x:f>IFERROR(VLOOKUP(E160,'Plan kont'!$A$4:$B$35,2,FALSE),"")</x:f>
      </x:c>
      <x:c r="G160" s="40"/>
      <x:c r="H160" s="40"/>
      <x:c r="I160" s="32"/>
      <x:c r="J160" s="32"/>
      <x:c r="K160" s="23" t="str">
        <x:f>IF(B160="","",IF(ABS(SUMIF($B$4:$B$503,B160,$G$4:$G$503)-SUMIF($B$4:$B$503,B160,$H$4:$H$503))&lt;0.01,"OK","NIEZGODNY"))</x:f>
      </x:c>
    </x:row>
    <x:row r="161">
      <x:c r="A161" s="33"/>
      <x:c r="B161" s="32"/>
      <x:c r="C161" s="32"/>
      <x:c r="D161" s="32"/>
      <x:c r="E161" s="32"/>
      <x:c r="F161" s="23" t="str">
        <x:f>IFERROR(VLOOKUP(E161,'Plan kont'!$A$4:$B$35,2,FALSE),"")</x:f>
      </x:c>
      <x:c r="G161" s="40"/>
      <x:c r="H161" s="40"/>
      <x:c r="I161" s="32"/>
      <x:c r="J161" s="32"/>
      <x:c r="K161" s="23" t="str">
        <x:f>IF(B161="","",IF(ABS(SUMIF($B$4:$B$503,B161,$G$4:$G$503)-SUMIF($B$4:$B$503,B161,$H$4:$H$503))&lt;0.01,"OK","NIEZGODNY"))</x:f>
      </x:c>
    </x:row>
    <x:row r="162">
      <x:c r="A162" s="33"/>
      <x:c r="B162" s="32"/>
      <x:c r="C162" s="32"/>
      <x:c r="D162" s="32"/>
      <x:c r="E162" s="32"/>
      <x:c r="F162" s="23" t="str">
        <x:f>IFERROR(VLOOKUP(E162,'Plan kont'!$A$4:$B$35,2,FALSE),"")</x:f>
      </x:c>
      <x:c r="G162" s="40"/>
      <x:c r="H162" s="40"/>
      <x:c r="I162" s="32"/>
      <x:c r="J162" s="32"/>
      <x:c r="K162" s="23" t="str">
        <x:f>IF(B162="","",IF(ABS(SUMIF($B$4:$B$503,B162,$G$4:$G$503)-SUMIF($B$4:$B$503,B162,$H$4:$H$503))&lt;0.01,"OK","NIEZGODNY"))</x:f>
      </x:c>
    </x:row>
    <x:row r="163">
      <x:c r="A163" s="33"/>
      <x:c r="B163" s="32"/>
      <x:c r="C163" s="32"/>
      <x:c r="D163" s="32"/>
      <x:c r="E163" s="32"/>
      <x:c r="F163" s="23" t="str">
        <x:f>IFERROR(VLOOKUP(E163,'Plan kont'!$A$4:$B$35,2,FALSE),"")</x:f>
      </x:c>
      <x:c r="G163" s="40"/>
      <x:c r="H163" s="40"/>
      <x:c r="I163" s="32"/>
      <x:c r="J163" s="32"/>
      <x:c r="K163" s="23" t="str">
        <x:f>IF(B163="","",IF(ABS(SUMIF($B$4:$B$503,B163,$G$4:$G$503)-SUMIF($B$4:$B$503,B163,$H$4:$H$503))&lt;0.01,"OK","NIEZGODNY"))</x:f>
      </x:c>
    </x:row>
    <x:row r="164">
      <x:c r="A164" s="33"/>
      <x:c r="B164" s="32"/>
      <x:c r="C164" s="32"/>
      <x:c r="D164" s="32"/>
      <x:c r="E164" s="32"/>
      <x:c r="F164" s="23" t="str">
        <x:f>IFERROR(VLOOKUP(E164,'Plan kont'!$A$4:$B$35,2,FALSE),"")</x:f>
      </x:c>
      <x:c r="G164" s="40"/>
      <x:c r="H164" s="40"/>
      <x:c r="I164" s="32"/>
      <x:c r="J164" s="32"/>
      <x:c r="K164" s="23" t="str">
        <x:f>IF(B164="","",IF(ABS(SUMIF($B$4:$B$503,B164,$G$4:$G$503)-SUMIF($B$4:$B$503,B164,$H$4:$H$503))&lt;0.01,"OK","NIEZGODNY"))</x:f>
      </x:c>
    </x:row>
    <x:row r="165">
      <x:c r="A165" s="33"/>
      <x:c r="B165" s="32"/>
      <x:c r="C165" s="32"/>
      <x:c r="D165" s="32"/>
      <x:c r="E165" s="32"/>
      <x:c r="F165" s="23" t="str">
        <x:f>IFERROR(VLOOKUP(E165,'Plan kont'!$A$4:$B$35,2,FALSE),"")</x:f>
      </x:c>
      <x:c r="G165" s="40"/>
      <x:c r="H165" s="40"/>
      <x:c r="I165" s="32"/>
      <x:c r="J165" s="32"/>
      <x:c r="K165" s="23" t="str">
        <x:f>IF(B165="","",IF(ABS(SUMIF($B$4:$B$503,B165,$G$4:$G$503)-SUMIF($B$4:$B$503,B165,$H$4:$H$503))&lt;0.01,"OK","NIEZGODNY"))</x:f>
      </x:c>
    </x:row>
    <x:row r="166">
      <x:c r="A166" s="33"/>
      <x:c r="B166" s="32"/>
      <x:c r="C166" s="32"/>
      <x:c r="D166" s="32"/>
      <x:c r="E166" s="32"/>
      <x:c r="F166" s="23" t="str">
        <x:f>IFERROR(VLOOKUP(E166,'Plan kont'!$A$4:$B$35,2,FALSE),"")</x:f>
      </x:c>
      <x:c r="G166" s="40"/>
      <x:c r="H166" s="40"/>
      <x:c r="I166" s="32"/>
      <x:c r="J166" s="32"/>
      <x:c r="K166" s="23" t="str">
        <x:f>IF(B166="","",IF(ABS(SUMIF($B$4:$B$503,B166,$G$4:$G$503)-SUMIF($B$4:$B$503,B166,$H$4:$H$503))&lt;0.01,"OK","NIEZGODNY"))</x:f>
      </x:c>
    </x:row>
    <x:row r="167">
      <x:c r="A167" s="33"/>
      <x:c r="B167" s="32"/>
      <x:c r="C167" s="32"/>
      <x:c r="D167" s="32"/>
      <x:c r="E167" s="32"/>
      <x:c r="F167" s="23" t="str">
        <x:f>IFERROR(VLOOKUP(E167,'Plan kont'!$A$4:$B$35,2,FALSE),"")</x:f>
      </x:c>
      <x:c r="G167" s="40"/>
      <x:c r="H167" s="40"/>
      <x:c r="I167" s="32"/>
      <x:c r="J167" s="32"/>
      <x:c r="K167" s="23" t="str">
        <x:f>IF(B167="","",IF(ABS(SUMIF($B$4:$B$503,B167,$G$4:$G$503)-SUMIF($B$4:$B$503,B167,$H$4:$H$503))&lt;0.01,"OK","NIEZGODNY"))</x:f>
      </x:c>
    </x:row>
    <x:row r="168">
      <x:c r="A168" s="33"/>
      <x:c r="B168" s="32"/>
      <x:c r="C168" s="32"/>
      <x:c r="D168" s="32"/>
      <x:c r="E168" s="32"/>
      <x:c r="F168" s="23" t="str">
        <x:f>IFERROR(VLOOKUP(E168,'Plan kont'!$A$4:$B$35,2,FALSE),"")</x:f>
      </x:c>
      <x:c r="G168" s="40"/>
      <x:c r="H168" s="40"/>
      <x:c r="I168" s="32"/>
      <x:c r="J168" s="32"/>
      <x:c r="K168" s="23" t="str">
        <x:f>IF(B168="","",IF(ABS(SUMIF($B$4:$B$503,B168,$G$4:$G$503)-SUMIF($B$4:$B$503,B168,$H$4:$H$503))&lt;0.01,"OK","NIEZGODNY"))</x:f>
      </x:c>
    </x:row>
    <x:row r="169">
      <x:c r="A169" s="33"/>
      <x:c r="B169" s="32"/>
      <x:c r="C169" s="32"/>
      <x:c r="D169" s="32"/>
      <x:c r="E169" s="32"/>
      <x:c r="F169" s="23" t="str">
        <x:f>IFERROR(VLOOKUP(E169,'Plan kont'!$A$4:$B$35,2,FALSE),"")</x:f>
      </x:c>
      <x:c r="G169" s="40"/>
      <x:c r="H169" s="40"/>
      <x:c r="I169" s="32"/>
      <x:c r="J169" s="32"/>
      <x:c r="K169" s="23" t="str">
        <x:f>IF(B169="","",IF(ABS(SUMIF($B$4:$B$503,B169,$G$4:$G$503)-SUMIF($B$4:$B$503,B169,$H$4:$H$503))&lt;0.01,"OK","NIEZGODNY"))</x:f>
      </x:c>
    </x:row>
    <x:row r="170">
      <x:c r="A170" s="33"/>
      <x:c r="B170" s="32"/>
      <x:c r="C170" s="32"/>
      <x:c r="D170" s="32"/>
      <x:c r="E170" s="32"/>
      <x:c r="F170" s="23" t="str">
        <x:f>IFERROR(VLOOKUP(E170,'Plan kont'!$A$4:$B$35,2,FALSE),"")</x:f>
      </x:c>
      <x:c r="G170" s="40"/>
      <x:c r="H170" s="40"/>
      <x:c r="I170" s="32"/>
      <x:c r="J170" s="32"/>
      <x:c r="K170" s="23" t="str">
        <x:f>IF(B170="","",IF(ABS(SUMIF($B$4:$B$503,B170,$G$4:$G$503)-SUMIF($B$4:$B$503,B170,$H$4:$H$503))&lt;0.01,"OK","NIEZGODNY"))</x:f>
      </x:c>
    </x:row>
    <x:row r="171">
      <x:c r="A171" s="33"/>
      <x:c r="B171" s="32"/>
      <x:c r="C171" s="32"/>
      <x:c r="D171" s="32"/>
      <x:c r="E171" s="32"/>
      <x:c r="F171" s="23" t="str">
        <x:f>IFERROR(VLOOKUP(E171,'Plan kont'!$A$4:$B$35,2,FALSE),"")</x:f>
      </x:c>
      <x:c r="G171" s="40"/>
      <x:c r="H171" s="40"/>
      <x:c r="I171" s="32"/>
      <x:c r="J171" s="32"/>
      <x:c r="K171" s="23" t="str">
        <x:f>IF(B171="","",IF(ABS(SUMIF($B$4:$B$503,B171,$G$4:$G$503)-SUMIF($B$4:$B$503,B171,$H$4:$H$503))&lt;0.01,"OK","NIEZGODNY"))</x:f>
      </x:c>
    </x:row>
    <x:row r="172">
      <x:c r="A172" s="33"/>
      <x:c r="B172" s="32"/>
      <x:c r="C172" s="32"/>
      <x:c r="D172" s="32"/>
      <x:c r="E172" s="32"/>
      <x:c r="F172" s="23" t="str">
        <x:f>IFERROR(VLOOKUP(E172,'Plan kont'!$A$4:$B$35,2,FALSE),"")</x:f>
      </x:c>
      <x:c r="G172" s="40"/>
      <x:c r="H172" s="40"/>
      <x:c r="I172" s="32"/>
      <x:c r="J172" s="32"/>
      <x:c r="K172" s="23" t="str">
        <x:f>IF(B172="","",IF(ABS(SUMIF($B$4:$B$503,B172,$G$4:$G$503)-SUMIF($B$4:$B$503,B172,$H$4:$H$503))&lt;0.01,"OK","NIEZGODNY"))</x:f>
      </x:c>
    </x:row>
    <x:row r="173">
      <x:c r="A173" s="33"/>
      <x:c r="B173" s="32"/>
      <x:c r="C173" s="32"/>
      <x:c r="D173" s="32"/>
      <x:c r="E173" s="32"/>
      <x:c r="F173" s="23" t="str">
        <x:f>IFERROR(VLOOKUP(E173,'Plan kont'!$A$4:$B$35,2,FALSE),"")</x:f>
      </x:c>
      <x:c r="G173" s="40"/>
      <x:c r="H173" s="40"/>
      <x:c r="I173" s="32"/>
      <x:c r="J173" s="32"/>
      <x:c r="K173" s="23" t="str">
        <x:f>IF(B173="","",IF(ABS(SUMIF($B$4:$B$503,B173,$G$4:$G$503)-SUMIF($B$4:$B$503,B173,$H$4:$H$503))&lt;0.01,"OK","NIEZGODNY"))</x:f>
      </x:c>
    </x:row>
    <x:row r="174">
      <x:c r="A174" s="33"/>
      <x:c r="B174" s="32"/>
      <x:c r="C174" s="32"/>
      <x:c r="D174" s="32"/>
      <x:c r="E174" s="32"/>
      <x:c r="F174" s="23" t="str">
        <x:f>IFERROR(VLOOKUP(E174,'Plan kont'!$A$4:$B$35,2,FALSE),"")</x:f>
      </x:c>
      <x:c r="G174" s="40"/>
      <x:c r="H174" s="40"/>
      <x:c r="I174" s="32"/>
      <x:c r="J174" s="32"/>
      <x:c r="K174" s="23" t="str">
        <x:f>IF(B174="","",IF(ABS(SUMIF($B$4:$B$503,B174,$G$4:$G$503)-SUMIF($B$4:$B$503,B174,$H$4:$H$503))&lt;0.01,"OK","NIEZGODNY"))</x:f>
      </x:c>
    </x:row>
    <x:row r="175">
      <x:c r="A175" s="33"/>
      <x:c r="B175" s="32"/>
      <x:c r="C175" s="32"/>
      <x:c r="D175" s="32"/>
      <x:c r="E175" s="32"/>
      <x:c r="F175" s="23" t="str">
        <x:f>IFERROR(VLOOKUP(E175,'Plan kont'!$A$4:$B$35,2,FALSE),"")</x:f>
      </x:c>
      <x:c r="G175" s="40"/>
      <x:c r="H175" s="40"/>
      <x:c r="I175" s="32"/>
      <x:c r="J175" s="32"/>
      <x:c r="K175" s="23" t="str">
        <x:f>IF(B175="","",IF(ABS(SUMIF($B$4:$B$503,B175,$G$4:$G$503)-SUMIF($B$4:$B$503,B175,$H$4:$H$503))&lt;0.01,"OK","NIEZGODNY"))</x:f>
      </x:c>
    </x:row>
    <x:row r="176">
      <x:c r="A176" s="33"/>
      <x:c r="B176" s="32"/>
      <x:c r="C176" s="32"/>
      <x:c r="D176" s="32"/>
      <x:c r="E176" s="32"/>
      <x:c r="F176" s="23" t="str">
        <x:f>IFERROR(VLOOKUP(E176,'Plan kont'!$A$4:$B$35,2,FALSE),"")</x:f>
      </x:c>
      <x:c r="G176" s="40"/>
      <x:c r="H176" s="40"/>
      <x:c r="I176" s="32"/>
      <x:c r="J176" s="32"/>
      <x:c r="K176" s="23" t="str">
        <x:f>IF(B176="","",IF(ABS(SUMIF($B$4:$B$503,B176,$G$4:$G$503)-SUMIF($B$4:$B$503,B176,$H$4:$H$503))&lt;0.01,"OK","NIEZGODNY"))</x:f>
      </x:c>
    </x:row>
    <x:row r="177">
      <x:c r="A177" s="33"/>
      <x:c r="B177" s="32"/>
      <x:c r="C177" s="32"/>
      <x:c r="D177" s="32"/>
      <x:c r="E177" s="32"/>
      <x:c r="F177" s="23" t="str">
        <x:f>IFERROR(VLOOKUP(E177,'Plan kont'!$A$4:$B$35,2,FALSE),"")</x:f>
      </x:c>
      <x:c r="G177" s="40"/>
      <x:c r="H177" s="40"/>
      <x:c r="I177" s="32"/>
      <x:c r="J177" s="32"/>
      <x:c r="K177" s="23" t="str">
        <x:f>IF(B177="","",IF(ABS(SUMIF($B$4:$B$503,B177,$G$4:$G$503)-SUMIF($B$4:$B$503,B177,$H$4:$H$503))&lt;0.01,"OK","NIEZGODNY"))</x:f>
      </x:c>
    </x:row>
    <x:row r="178">
      <x:c r="A178" s="33"/>
      <x:c r="B178" s="32"/>
      <x:c r="C178" s="32"/>
      <x:c r="D178" s="32"/>
      <x:c r="E178" s="32"/>
      <x:c r="F178" s="23" t="str">
        <x:f>IFERROR(VLOOKUP(E178,'Plan kont'!$A$4:$B$35,2,FALSE),"")</x:f>
      </x:c>
      <x:c r="G178" s="40"/>
      <x:c r="H178" s="40"/>
      <x:c r="I178" s="32"/>
      <x:c r="J178" s="32"/>
      <x:c r="K178" s="23" t="str">
        <x:f>IF(B178="","",IF(ABS(SUMIF($B$4:$B$503,B178,$G$4:$G$503)-SUMIF($B$4:$B$503,B178,$H$4:$H$503))&lt;0.01,"OK","NIEZGODNY"))</x:f>
      </x:c>
    </x:row>
    <x:row r="179">
      <x:c r="A179" s="33"/>
      <x:c r="B179" s="32"/>
      <x:c r="C179" s="32"/>
      <x:c r="D179" s="32"/>
      <x:c r="E179" s="32"/>
      <x:c r="F179" s="23" t="str">
        <x:f>IFERROR(VLOOKUP(E179,'Plan kont'!$A$4:$B$35,2,FALSE),"")</x:f>
      </x:c>
      <x:c r="G179" s="40"/>
      <x:c r="H179" s="40"/>
      <x:c r="I179" s="32"/>
      <x:c r="J179" s="32"/>
      <x:c r="K179" s="23" t="str">
        <x:f>IF(B179="","",IF(ABS(SUMIF($B$4:$B$503,B179,$G$4:$G$503)-SUMIF($B$4:$B$503,B179,$H$4:$H$503))&lt;0.01,"OK","NIEZGODNY"))</x:f>
      </x:c>
    </x:row>
    <x:row r="180">
      <x:c r="A180" s="33"/>
      <x:c r="B180" s="32"/>
      <x:c r="C180" s="32"/>
      <x:c r="D180" s="32"/>
      <x:c r="E180" s="32"/>
      <x:c r="F180" s="23" t="str">
        <x:f>IFERROR(VLOOKUP(E180,'Plan kont'!$A$4:$B$35,2,FALSE),"")</x:f>
      </x:c>
      <x:c r="G180" s="40"/>
      <x:c r="H180" s="40"/>
      <x:c r="I180" s="32"/>
      <x:c r="J180" s="32"/>
      <x:c r="K180" s="23" t="str">
        <x:f>IF(B180="","",IF(ABS(SUMIF($B$4:$B$503,B180,$G$4:$G$503)-SUMIF($B$4:$B$503,B180,$H$4:$H$503))&lt;0.01,"OK","NIEZGODNY"))</x:f>
      </x:c>
    </x:row>
    <x:row r="181">
      <x:c r="A181" s="33"/>
      <x:c r="B181" s="32"/>
      <x:c r="C181" s="32"/>
      <x:c r="D181" s="32"/>
      <x:c r="E181" s="32"/>
      <x:c r="F181" s="23" t="str">
        <x:f>IFERROR(VLOOKUP(E181,'Plan kont'!$A$4:$B$35,2,FALSE),"")</x:f>
      </x:c>
      <x:c r="G181" s="40"/>
      <x:c r="H181" s="40"/>
      <x:c r="I181" s="32"/>
      <x:c r="J181" s="32"/>
      <x:c r="K181" s="23" t="str">
        <x:f>IF(B181="","",IF(ABS(SUMIF($B$4:$B$503,B181,$G$4:$G$503)-SUMIF($B$4:$B$503,B181,$H$4:$H$503))&lt;0.01,"OK","NIEZGODNY"))</x:f>
      </x:c>
    </x:row>
    <x:row r="182">
      <x:c r="A182" s="33"/>
      <x:c r="B182" s="32"/>
      <x:c r="C182" s="32"/>
      <x:c r="D182" s="32"/>
      <x:c r="E182" s="32"/>
      <x:c r="F182" s="23" t="str">
        <x:f>IFERROR(VLOOKUP(E182,'Plan kont'!$A$4:$B$35,2,FALSE),"")</x:f>
      </x:c>
      <x:c r="G182" s="40"/>
      <x:c r="H182" s="40"/>
      <x:c r="I182" s="32"/>
      <x:c r="J182" s="32"/>
      <x:c r="K182" s="23" t="str">
        <x:f>IF(B182="","",IF(ABS(SUMIF($B$4:$B$503,B182,$G$4:$G$503)-SUMIF($B$4:$B$503,B182,$H$4:$H$503))&lt;0.01,"OK","NIEZGODNY"))</x:f>
      </x:c>
    </x:row>
    <x:row r="183">
      <x:c r="A183" s="33"/>
      <x:c r="B183" s="32"/>
      <x:c r="C183" s="32"/>
      <x:c r="D183" s="32"/>
      <x:c r="E183" s="32"/>
      <x:c r="F183" s="23" t="str">
        <x:f>IFERROR(VLOOKUP(E183,'Plan kont'!$A$4:$B$35,2,FALSE),"")</x:f>
      </x:c>
      <x:c r="G183" s="40"/>
      <x:c r="H183" s="40"/>
      <x:c r="I183" s="32"/>
      <x:c r="J183" s="32"/>
      <x:c r="K183" s="23" t="str">
        <x:f>IF(B183="","",IF(ABS(SUMIF($B$4:$B$503,B183,$G$4:$G$503)-SUMIF($B$4:$B$503,B183,$H$4:$H$503))&lt;0.01,"OK","NIEZGODNY"))</x:f>
      </x:c>
    </x:row>
    <x:row r="184">
      <x:c r="A184" s="33"/>
      <x:c r="B184" s="32"/>
      <x:c r="C184" s="32"/>
      <x:c r="D184" s="32"/>
      <x:c r="E184" s="32"/>
      <x:c r="F184" s="23" t="str">
        <x:f>IFERROR(VLOOKUP(E184,'Plan kont'!$A$4:$B$35,2,FALSE),"")</x:f>
      </x:c>
      <x:c r="G184" s="40"/>
      <x:c r="H184" s="40"/>
      <x:c r="I184" s="32"/>
      <x:c r="J184" s="32"/>
      <x:c r="K184" s="23" t="str">
        <x:f>IF(B184="","",IF(ABS(SUMIF($B$4:$B$503,B184,$G$4:$G$503)-SUMIF($B$4:$B$503,B184,$H$4:$H$503))&lt;0.01,"OK","NIEZGODNY"))</x:f>
      </x:c>
    </x:row>
    <x:row r="185">
      <x:c r="A185" s="33"/>
      <x:c r="B185" s="32"/>
      <x:c r="C185" s="32"/>
      <x:c r="D185" s="32"/>
      <x:c r="E185" s="32"/>
      <x:c r="F185" s="23" t="str">
        <x:f>IFERROR(VLOOKUP(E185,'Plan kont'!$A$4:$B$35,2,FALSE),"")</x:f>
      </x:c>
      <x:c r="G185" s="40"/>
      <x:c r="H185" s="40"/>
      <x:c r="I185" s="32"/>
      <x:c r="J185" s="32"/>
      <x:c r="K185" s="23" t="str">
        <x:f>IF(B185="","",IF(ABS(SUMIF($B$4:$B$503,B185,$G$4:$G$503)-SUMIF($B$4:$B$503,B185,$H$4:$H$503))&lt;0.01,"OK","NIEZGODNY"))</x:f>
      </x:c>
    </x:row>
    <x:row r="186">
      <x:c r="A186" s="33"/>
      <x:c r="B186" s="32"/>
      <x:c r="C186" s="32"/>
      <x:c r="D186" s="32"/>
      <x:c r="E186" s="32"/>
      <x:c r="F186" s="23" t="str">
        <x:f>IFERROR(VLOOKUP(E186,'Plan kont'!$A$4:$B$35,2,FALSE),"")</x:f>
      </x:c>
      <x:c r="G186" s="40"/>
      <x:c r="H186" s="40"/>
      <x:c r="I186" s="32"/>
      <x:c r="J186" s="32"/>
      <x:c r="K186" s="23" t="str">
        <x:f>IF(B186="","",IF(ABS(SUMIF($B$4:$B$503,B186,$G$4:$G$503)-SUMIF($B$4:$B$503,B186,$H$4:$H$503))&lt;0.01,"OK","NIEZGODNY"))</x:f>
      </x:c>
    </x:row>
    <x:row r="187">
      <x:c r="A187" s="33"/>
      <x:c r="B187" s="32"/>
      <x:c r="C187" s="32"/>
      <x:c r="D187" s="32"/>
      <x:c r="E187" s="32"/>
      <x:c r="F187" s="23" t="str">
        <x:f>IFERROR(VLOOKUP(E187,'Plan kont'!$A$4:$B$35,2,FALSE),"")</x:f>
      </x:c>
      <x:c r="G187" s="40"/>
      <x:c r="H187" s="40"/>
      <x:c r="I187" s="32"/>
      <x:c r="J187" s="32"/>
      <x:c r="K187" s="23" t="str">
        <x:f>IF(B187="","",IF(ABS(SUMIF($B$4:$B$503,B187,$G$4:$G$503)-SUMIF($B$4:$B$503,B187,$H$4:$H$503))&lt;0.01,"OK","NIEZGODNY"))</x:f>
      </x:c>
    </x:row>
    <x:row r="188">
      <x:c r="A188" s="33"/>
      <x:c r="B188" s="32"/>
      <x:c r="C188" s="32"/>
      <x:c r="D188" s="32"/>
      <x:c r="E188" s="32"/>
      <x:c r="F188" s="23" t="str">
        <x:f>IFERROR(VLOOKUP(E188,'Plan kont'!$A$4:$B$35,2,FALSE),"")</x:f>
      </x:c>
      <x:c r="G188" s="40"/>
      <x:c r="H188" s="40"/>
      <x:c r="I188" s="32"/>
      <x:c r="J188" s="32"/>
      <x:c r="K188" s="23" t="str">
        <x:f>IF(B188="","",IF(ABS(SUMIF($B$4:$B$503,B188,$G$4:$G$503)-SUMIF($B$4:$B$503,B188,$H$4:$H$503))&lt;0.01,"OK","NIEZGODNY"))</x:f>
      </x:c>
    </x:row>
    <x:row r="189">
      <x:c r="A189" s="33"/>
      <x:c r="B189" s="32"/>
      <x:c r="C189" s="32"/>
      <x:c r="D189" s="32"/>
      <x:c r="E189" s="32"/>
      <x:c r="F189" s="23" t="str">
        <x:f>IFERROR(VLOOKUP(E189,'Plan kont'!$A$4:$B$35,2,FALSE),"")</x:f>
      </x:c>
      <x:c r="G189" s="40"/>
      <x:c r="H189" s="40"/>
      <x:c r="I189" s="32"/>
      <x:c r="J189" s="32"/>
      <x:c r="K189" s="23" t="str">
        <x:f>IF(B189="","",IF(ABS(SUMIF($B$4:$B$503,B189,$G$4:$G$503)-SUMIF($B$4:$B$503,B189,$H$4:$H$503))&lt;0.01,"OK","NIEZGODNY"))</x:f>
      </x:c>
    </x:row>
    <x:row r="190">
      <x:c r="A190" s="33"/>
      <x:c r="B190" s="32"/>
      <x:c r="C190" s="32"/>
      <x:c r="D190" s="32"/>
      <x:c r="E190" s="32"/>
      <x:c r="F190" s="23" t="str">
        <x:f>IFERROR(VLOOKUP(E190,'Plan kont'!$A$4:$B$35,2,FALSE),"")</x:f>
      </x:c>
      <x:c r="G190" s="40"/>
      <x:c r="H190" s="40"/>
      <x:c r="I190" s="32"/>
      <x:c r="J190" s="32"/>
      <x:c r="K190" s="23" t="str">
        <x:f>IF(B190="","",IF(ABS(SUMIF($B$4:$B$503,B190,$G$4:$G$503)-SUMIF($B$4:$B$503,B190,$H$4:$H$503))&lt;0.01,"OK","NIEZGODNY"))</x:f>
      </x:c>
    </x:row>
    <x:row r="191">
      <x:c r="A191" s="33"/>
      <x:c r="B191" s="32"/>
      <x:c r="C191" s="32"/>
      <x:c r="D191" s="32"/>
      <x:c r="E191" s="32"/>
      <x:c r="F191" s="23" t="str">
        <x:f>IFERROR(VLOOKUP(E191,'Plan kont'!$A$4:$B$35,2,FALSE),"")</x:f>
      </x:c>
      <x:c r="G191" s="40"/>
      <x:c r="H191" s="40"/>
      <x:c r="I191" s="32"/>
      <x:c r="J191" s="32"/>
      <x:c r="K191" s="23" t="str">
        <x:f>IF(B191="","",IF(ABS(SUMIF($B$4:$B$503,B191,$G$4:$G$503)-SUMIF($B$4:$B$503,B191,$H$4:$H$503))&lt;0.01,"OK","NIEZGODNY"))</x:f>
      </x:c>
    </x:row>
    <x:row r="192">
      <x:c r="A192" s="33"/>
      <x:c r="B192" s="32"/>
      <x:c r="C192" s="32"/>
      <x:c r="D192" s="32"/>
      <x:c r="E192" s="32"/>
      <x:c r="F192" s="23" t="str">
        <x:f>IFERROR(VLOOKUP(E192,'Plan kont'!$A$4:$B$35,2,FALSE),"")</x:f>
      </x:c>
      <x:c r="G192" s="40"/>
      <x:c r="H192" s="40"/>
      <x:c r="I192" s="32"/>
      <x:c r="J192" s="32"/>
      <x:c r="K192" s="23" t="str">
        <x:f>IF(B192="","",IF(ABS(SUMIF($B$4:$B$503,B192,$G$4:$G$503)-SUMIF($B$4:$B$503,B192,$H$4:$H$503))&lt;0.01,"OK","NIEZGODNY"))</x:f>
      </x:c>
    </x:row>
    <x:row r="193">
      <x:c r="A193" s="33"/>
      <x:c r="B193" s="32"/>
      <x:c r="C193" s="32"/>
      <x:c r="D193" s="32"/>
      <x:c r="E193" s="32"/>
      <x:c r="F193" s="23" t="str">
        <x:f>IFERROR(VLOOKUP(E193,'Plan kont'!$A$4:$B$35,2,FALSE),"")</x:f>
      </x:c>
      <x:c r="G193" s="40"/>
      <x:c r="H193" s="40"/>
      <x:c r="I193" s="32"/>
      <x:c r="J193" s="32"/>
      <x:c r="K193" s="23" t="str">
        <x:f>IF(B193="","",IF(ABS(SUMIF($B$4:$B$503,B193,$G$4:$G$503)-SUMIF($B$4:$B$503,B193,$H$4:$H$503))&lt;0.01,"OK","NIEZGODNY"))</x:f>
      </x:c>
    </x:row>
    <x:row r="194">
      <x:c r="A194" s="33"/>
      <x:c r="B194" s="32"/>
      <x:c r="C194" s="32"/>
      <x:c r="D194" s="32"/>
      <x:c r="E194" s="32"/>
      <x:c r="F194" s="23" t="str">
        <x:f>IFERROR(VLOOKUP(E194,'Plan kont'!$A$4:$B$35,2,FALSE),"")</x:f>
      </x:c>
      <x:c r="G194" s="40"/>
      <x:c r="H194" s="40"/>
      <x:c r="I194" s="32"/>
      <x:c r="J194" s="32"/>
      <x:c r="K194" s="23" t="str">
        <x:f>IF(B194="","",IF(ABS(SUMIF($B$4:$B$503,B194,$G$4:$G$503)-SUMIF($B$4:$B$503,B194,$H$4:$H$503))&lt;0.01,"OK","NIEZGODNY"))</x:f>
      </x:c>
    </x:row>
    <x:row r="195">
      <x:c r="A195" s="33"/>
      <x:c r="B195" s="32"/>
      <x:c r="C195" s="32"/>
      <x:c r="D195" s="32"/>
      <x:c r="E195" s="32"/>
      <x:c r="F195" s="23" t="str">
        <x:f>IFERROR(VLOOKUP(E195,'Plan kont'!$A$4:$B$35,2,FALSE),"")</x:f>
      </x:c>
      <x:c r="G195" s="40"/>
      <x:c r="H195" s="40"/>
      <x:c r="I195" s="32"/>
      <x:c r="J195" s="32"/>
      <x:c r="K195" s="23" t="str">
        <x:f>IF(B195="","",IF(ABS(SUMIF($B$4:$B$503,B195,$G$4:$G$503)-SUMIF($B$4:$B$503,B195,$H$4:$H$503))&lt;0.01,"OK","NIEZGODNY"))</x:f>
      </x:c>
    </x:row>
    <x:row r="196">
      <x:c r="A196" s="33"/>
      <x:c r="B196" s="32"/>
      <x:c r="C196" s="32"/>
      <x:c r="D196" s="32"/>
      <x:c r="E196" s="32"/>
      <x:c r="F196" s="23" t="str">
        <x:f>IFERROR(VLOOKUP(E196,'Plan kont'!$A$4:$B$35,2,FALSE),"")</x:f>
      </x:c>
      <x:c r="G196" s="40"/>
      <x:c r="H196" s="40"/>
      <x:c r="I196" s="32"/>
      <x:c r="J196" s="32"/>
      <x:c r="K196" s="23" t="str">
        <x:f>IF(B196="","",IF(ABS(SUMIF($B$4:$B$503,B196,$G$4:$G$503)-SUMIF($B$4:$B$503,B196,$H$4:$H$503))&lt;0.01,"OK","NIEZGODNY"))</x:f>
      </x:c>
    </x:row>
    <x:row r="197">
      <x:c r="A197" s="33"/>
      <x:c r="B197" s="32"/>
      <x:c r="C197" s="32"/>
      <x:c r="D197" s="32"/>
      <x:c r="E197" s="32"/>
      <x:c r="F197" s="23" t="str">
        <x:f>IFERROR(VLOOKUP(E197,'Plan kont'!$A$4:$B$35,2,FALSE),"")</x:f>
      </x:c>
      <x:c r="G197" s="40"/>
      <x:c r="H197" s="40"/>
      <x:c r="I197" s="32"/>
      <x:c r="J197" s="32"/>
      <x:c r="K197" s="23" t="str">
        <x:f>IF(B197="","",IF(ABS(SUMIF($B$4:$B$503,B197,$G$4:$G$503)-SUMIF($B$4:$B$503,B197,$H$4:$H$503))&lt;0.01,"OK","NIEZGODNY"))</x:f>
      </x:c>
    </x:row>
    <x:row r="198">
      <x:c r="A198" s="33"/>
      <x:c r="B198" s="32"/>
      <x:c r="C198" s="32"/>
      <x:c r="D198" s="32"/>
      <x:c r="E198" s="32"/>
      <x:c r="F198" s="23" t="str">
        <x:f>IFERROR(VLOOKUP(E198,'Plan kont'!$A$4:$B$35,2,FALSE),"")</x:f>
      </x:c>
      <x:c r="G198" s="40"/>
      <x:c r="H198" s="40"/>
      <x:c r="I198" s="32"/>
      <x:c r="J198" s="32"/>
      <x:c r="K198" s="23" t="str">
        <x:f>IF(B198="","",IF(ABS(SUMIF($B$4:$B$503,B198,$G$4:$G$503)-SUMIF($B$4:$B$503,B198,$H$4:$H$503))&lt;0.01,"OK","NIEZGODNY"))</x:f>
      </x:c>
    </x:row>
    <x:row r="199">
      <x:c r="A199" s="33"/>
      <x:c r="B199" s="32"/>
      <x:c r="C199" s="32"/>
      <x:c r="D199" s="32"/>
      <x:c r="E199" s="32"/>
      <x:c r="F199" s="23" t="str">
        <x:f>IFERROR(VLOOKUP(E199,'Plan kont'!$A$4:$B$35,2,FALSE),"")</x:f>
      </x:c>
      <x:c r="G199" s="40"/>
      <x:c r="H199" s="40"/>
      <x:c r="I199" s="32"/>
      <x:c r="J199" s="32"/>
      <x:c r="K199" s="23" t="str">
        <x:f>IF(B199="","",IF(ABS(SUMIF($B$4:$B$503,B199,$G$4:$G$503)-SUMIF($B$4:$B$503,B199,$H$4:$H$503))&lt;0.01,"OK","NIEZGODNY"))</x:f>
      </x:c>
    </x:row>
    <x:row r="200">
      <x:c r="A200" s="33"/>
      <x:c r="B200" s="32"/>
      <x:c r="C200" s="32"/>
      <x:c r="D200" s="32"/>
      <x:c r="E200" s="32"/>
      <x:c r="F200" s="23" t="str">
        <x:f>IFERROR(VLOOKUP(E200,'Plan kont'!$A$4:$B$35,2,FALSE),"")</x:f>
      </x:c>
      <x:c r="G200" s="40"/>
      <x:c r="H200" s="40"/>
      <x:c r="I200" s="32"/>
      <x:c r="J200" s="32"/>
      <x:c r="K200" s="23" t="str">
        <x:f>IF(B200="","",IF(ABS(SUMIF($B$4:$B$503,B200,$G$4:$G$503)-SUMIF($B$4:$B$503,B200,$H$4:$H$503))&lt;0.01,"OK","NIEZGODNY"))</x:f>
      </x:c>
    </x:row>
    <x:row r="201">
      <x:c r="A201" s="33"/>
      <x:c r="B201" s="32"/>
      <x:c r="C201" s="32"/>
      <x:c r="D201" s="32"/>
      <x:c r="E201" s="32"/>
      <x:c r="F201" s="23" t="str">
        <x:f>IFERROR(VLOOKUP(E201,'Plan kont'!$A$4:$B$35,2,FALSE),"")</x:f>
      </x:c>
      <x:c r="G201" s="40"/>
      <x:c r="H201" s="40"/>
      <x:c r="I201" s="32"/>
      <x:c r="J201" s="32"/>
      <x:c r="K201" s="23" t="str">
        <x:f>IF(B201="","",IF(ABS(SUMIF($B$4:$B$503,B201,$G$4:$G$503)-SUMIF($B$4:$B$503,B201,$H$4:$H$503))&lt;0.01,"OK","NIEZGODNY"))</x:f>
      </x:c>
    </x:row>
    <x:row r="202">
      <x:c r="A202" s="33"/>
      <x:c r="B202" s="32"/>
      <x:c r="C202" s="32"/>
      <x:c r="D202" s="32"/>
      <x:c r="E202" s="32"/>
      <x:c r="F202" s="23" t="str">
        <x:f>IFERROR(VLOOKUP(E202,'Plan kont'!$A$4:$B$35,2,FALSE),"")</x:f>
      </x:c>
      <x:c r="G202" s="40"/>
      <x:c r="H202" s="40"/>
      <x:c r="I202" s="32"/>
      <x:c r="J202" s="32"/>
      <x:c r="K202" s="23" t="str">
        <x:f>IF(B202="","",IF(ABS(SUMIF($B$4:$B$503,B202,$G$4:$G$503)-SUMIF($B$4:$B$503,B202,$H$4:$H$503))&lt;0.01,"OK","NIEZGODNY"))</x:f>
      </x:c>
    </x:row>
    <x:row r="203">
      <x:c r="A203" s="33"/>
      <x:c r="B203" s="32"/>
      <x:c r="C203" s="32"/>
      <x:c r="D203" s="32"/>
      <x:c r="E203" s="32"/>
      <x:c r="F203" s="23" t="str">
        <x:f>IFERROR(VLOOKUP(E203,'Plan kont'!$A$4:$B$35,2,FALSE),"")</x:f>
      </x:c>
      <x:c r="G203" s="40"/>
      <x:c r="H203" s="40"/>
      <x:c r="I203" s="32"/>
      <x:c r="J203" s="32"/>
      <x:c r="K203" s="23" t="str">
        <x:f>IF(B203="","",IF(ABS(SUMIF($B$4:$B$503,B203,$G$4:$G$503)-SUMIF($B$4:$B$503,B203,$H$4:$H$503))&lt;0.01,"OK","NIEZGODNY"))</x:f>
      </x:c>
    </x:row>
    <x:row r="204">
      <x:c r="A204" s="33"/>
      <x:c r="B204" s="32"/>
      <x:c r="C204" s="32"/>
      <x:c r="D204" s="32"/>
      <x:c r="E204" s="32"/>
      <x:c r="F204" s="23" t="str">
        <x:f>IFERROR(VLOOKUP(E204,'Plan kont'!$A$4:$B$35,2,FALSE),"")</x:f>
      </x:c>
      <x:c r="G204" s="40"/>
      <x:c r="H204" s="40"/>
      <x:c r="I204" s="32"/>
      <x:c r="J204" s="32"/>
      <x:c r="K204" s="23" t="str">
        <x:f>IF(B204="","",IF(ABS(SUMIF($B$4:$B$503,B204,$G$4:$G$503)-SUMIF($B$4:$B$503,B204,$H$4:$H$503))&lt;0.01,"OK","NIEZGODNY"))</x:f>
      </x:c>
    </x:row>
    <x:row r="205">
      <x:c r="A205" s="33"/>
      <x:c r="B205" s="32"/>
      <x:c r="C205" s="32"/>
      <x:c r="D205" s="32"/>
      <x:c r="E205" s="32"/>
      <x:c r="F205" s="23" t="str">
        <x:f>IFERROR(VLOOKUP(E205,'Plan kont'!$A$4:$B$35,2,FALSE),"")</x:f>
      </x:c>
      <x:c r="G205" s="40"/>
      <x:c r="H205" s="40"/>
      <x:c r="I205" s="32"/>
      <x:c r="J205" s="32"/>
      <x:c r="K205" s="23" t="str">
        <x:f>IF(B205="","",IF(ABS(SUMIF($B$4:$B$503,B205,$G$4:$G$503)-SUMIF($B$4:$B$503,B205,$H$4:$H$503))&lt;0.01,"OK","NIEZGODNY"))</x:f>
      </x:c>
    </x:row>
    <x:row r="206">
      <x:c r="A206" s="33"/>
      <x:c r="B206" s="32"/>
      <x:c r="C206" s="32"/>
      <x:c r="D206" s="32"/>
      <x:c r="E206" s="32"/>
      <x:c r="F206" s="23" t="str">
        <x:f>IFERROR(VLOOKUP(E206,'Plan kont'!$A$4:$B$35,2,FALSE),"")</x:f>
      </x:c>
      <x:c r="G206" s="40"/>
      <x:c r="H206" s="40"/>
      <x:c r="I206" s="32"/>
      <x:c r="J206" s="32"/>
      <x:c r="K206" s="23" t="str">
        <x:f>IF(B206="","",IF(ABS(SUMIF($B$4:$B$503,B206,$G$4:$G$503)-SUMIF($B$4:$B$503,B206,$H$4:$H$503))&lt;0.01,"OK","NIEZGODNY"))</x:f>
      </x:c>
    </x:row>
    <x:row r="207">
      <x:c r="A207" s="33"/>
      <x:c r="B207" s="32"/>
      <x:c r="C207" s="32"/>
      <x:c r="D207" s="32"/>
      <x:c r="E207" s="32"/>
      <x:c r="F207" s="23" t="str">
        <x:f>IFERROR(VLOOKUP(E207,'Plan kont'!$A$4:$B$35,2,FALSE),"")</x:f>
      </x:c>
      <x:c r="G207" s="40"/>
      <x:c r="H207" s="40"/>
      <x:c r="I207" s="32"/>
      <x:c r="J207" s="32"/>
      <x:c r="K207" s="23" t="str">
        <x:f>IF(B207="","",IF(ABS(SUMIF($B$4:$B$503,B207,$G$4:$G$503)-SUMIF($B$4:$B$503,B207,$H$4:$H$503))&lt;0.01,"OK","NIEZGODNY"))</x:f>
      </x:c>
    </x:row>
    <x:row r="208">
      <x:c r="A208" s="33"/>
      <x:c r="B208" s="32"/>
      <x:c r="C208" s="32"/>
      <x:c r="D208" s="32"/>
      <x:c r="E208" s="32"/>
      <x:c r="F208" s="23" t="str">
        <x:f>IFERROR(VLOOKUP(E208,'Plan kont'!$A$4:$B$35,2,FALSE),"")</x:f>
      </x:c>
      <x:c r="G208" s="40"/>
      <x:c r="H208" s="40"/>
      <x:c r="I208" s="32"/>
      <x:c r="J208" s="32"/>
      <x:c r="K208" s="23" t="str">
        <x:f>IF(B208="","",IF(ABS(SUMIF($B$4:$B$503,B208,$G$4:$G$503)-SUMIF($B$4:$B$503,B208,$H$4:$H$503))&lt;0.01,"OK","NIEZGODNY"))</x:f>
      </x:c>
    </x:row>
    <x:row r="209">
      <x:c r="A209" s="33"/>
      <x:c r="B209" s="32"/>
      <x:c r="C209" s="32"/>
      <x:c r="D209" s="32"/>
      <x:c r="E209" s="32"/>
      <x:c r="F209" s="23" t="str">
        <x:f>IFERROR(VLOOKUP(E209,'Plan kont'!$A$4:$B$35,2,FALSE),"")</x:f>
      </x:c>
      <x:c r="G209" s="40"/>
      <x:c r="H209" s="40"/>
      <x:c r="I209" s="32"/>
      <x:c r="J209" s="32"/>
      <x:c r="K209" s="23" t="str">
        <x:f>IF(B209="","",IF(ABS(SUMIF($B$4:$B$503,B209,$G$4:$G$503)-SUMIF($B$4:$B$503,B209,$H$4:$H$503))&lt;0.01,"OK","NIEZGODNY"))</x:f>
      </x:c>
    </x:row>
    <x:row r="210">
      <x:c r="A210" s="33"/>
      <x:c r="B210" s="32"/>
      <x:c r="C210" s="32"/>
      <x:c r="D210" s="32"/>
      <x:c r="E210" s="32"/>
      <x:c r="F210" s="23" t="str">
        <x:f>IFERROR(VLOOKUP(E210,'Plan kont'!$A$4:$B$35,2,FALSE),"")</x:f>
      </x:c>
      <x:c r="G210" s="40"/>
      <x:c r="H210" s="40"/>
      <x:c r="I210" s="32"/>
      <x:c r="J210" s="32"/>
      <x:c r="K210" s="23" t="str">
        <x:f>IF(B210="","",IF(ABS(SUMIF($B$4:$B$503,B210,$G$4:$G$503)-SUMIF($B$4:$B$503,B210,$H$4:$H$503))&lt;0.01,"OK","NIEZGODNY"))</x:f>
      </x:c>
    </x:row>
    <x:row r="211">
      <x:c r="A211" s="33"/>
      <x:c r="B211" s="32"/>
      <x:c r="C211" s="32"/>
      <x:c r="D211" s="32"/>
      <x:c r="E211" s="32"/>
      <x:c r="F211" s="23" t="str">
        <x:f>IFERROR(VLOOKUP(E211,'Plan kont'!$A$4:$B$35,2,FALSE),"")</x:f>
      </x:c>
      <x:c r="G211" s="40"/>
      <x:c r="H211" s="40"/>
      <x:c r="I211" s="32"/>
      <x:c r="J211" s="32"/>
      <x:c r="K211" s="23" t="str">
        <x:f>IF(B211="","",IF(ABS(SUMIF($B$4:$B$503,B211,$G$4:$G$503)-SUMIF($B$4:$B$503,B211,$H$4:$H$503))&lt;0.01,"OK","NIEZGODNY"))</x:f>
      </x:c>
    </x:row>
    <x:row r="212">
      <x:c r="A212" s="33"/>
      <x:c r="B212" s="32"/>
      <x:c r="C212" s="32"/>
      <x:c r="D212" s="32"/>
      <x:c r="E212" s="32"/>
      <x:c r="F212" s="23" t="str">
        <x:f>IFERROR(VLOOKUP(E212,'Plan kont'!$A$4:$B$35,2,FALSE),"")</x:f>
      </x:c>
      <x:c r="G212" s="40"/>
      <x:c r="H212" s="40"/>
      <x:c r="I212" s="32"/>
      <x:c r="J212" s="32"/>
      <x:c r="K212" s="23" t="str">
        <x:f>IF(B212="","",IF(ABS(SUMIF($B$4:$B$503,B212,$G$4:$G$503)-SUMIF($B$4:$B$503,B212,$H$4:$H$503))&lt;0.01,"OK","NIEZGODNY"))</x:f>
      </x:c>
    </x:row>
    <x:row r="213">
      <x:c r="A213" s="33"/>
      <x:c r="B213" s="32"/>
      <x:c r="C213" s="32"/>
      <x:c r="D213" s="32"/>
      <x:c r="E213" s="32"/>
      <x:c r="F213" s="23" t="str">
        <x:f>IFERROR(VLOOKUP(E213,'Plan kont'!$A$4:$B$35,2,FALSE),"")</x:f>
      </x:c>
      <x:c r="G213" s="40"/>
      <x:c r="H213" s="40"/>
      <x:c r="I213" s="32"/>
      <x:c r="J213" s="32"/>
      <x:c r="K213" s="23" t="str">
        <x:f>IF(B213="","",IF(ABS(SUMIF($B$4:$B$503,B213,$G$4:$G$503)-SUMIF($B$4:$B$503,B213,$H$4:$H$503))&lt;0.01,"OK","NIEZGODNY"))</x:f>
      </x:c>
    </x:row>
    <x:row r="214">
      <x:c r="A214" s="33"/>
      <x:c r="B214" s="32"/>
      <x:c r="C214" s="32"/>
      <x:c r="D214" s="32"/>
      <x:c r="E214" s="32"/>
      <x:c r="F214" s="23" t="str">
        <x:f>IFERROR(VLOOKUP(E214,'Plan kont'!$A$4:$B$35,2,FALSE),"")</x:f>
      </x:c>
      <x:c r="G214" s="40"/>
      <x:c r="H214" s="40"/>
      <x:c r="I214" s="32"/>
      <x:c r="J214" s="32"/>
      <x:c r="K214" s="23" t="str">
        <x:f>IF(B214="","",IF(ABS(SUMIF($B$4:$B$503,B214,$G$4:$G$503)-SUMIF($B$4:$B$503,B214,$H$4:$H$503))&lt;0.01,"OK","NIEZGODNY"))</x:f>
      </x:c>
    </x:row>
    <x:row r="215">
      <x:c r="A215" s="33"/>
      <x:c r="B215" s="32"/>
      <x:c r="C215" s="32"/>
      <x:c r="D215" s="32"/>
      <x:c r="E215" s="32"/>
      <x:c r="F215" s="23" t="str">
        <x:f>IFERROR(VLOOKUP(E215,'Plan kont'!$A$4:$B$35,2,FALSE),"")</x:f>
      </x:c>
      <x:c r="G215" s="40"/>
      <x:c r="H215" s="40"/>
      <x:c r="I215" s="32"/>
      <x:c r="J215" s="32"/>
      <x:c r="K215" s="23" t="str">
        <x:f>IF(B215="","",IF(ABS(SUMIF($B$4:$B$503,B215,$G$4:$G$503)-SUMIF($B$4:$B$503,B215,$H$4:$H$503))&lt;0.01,"OK","NIEZGODNY"))</x:f>
      </x:c>
    </x:row>
    <x:row r="216">
      <x:c r="A216" s="33"/>
      <x:c r="B216" s="32"/>
      <x:c r="C216" s="32"/>
      <x:c r="D216" s="32"/>
      <x:c r="E216" s="32"/>
      <x:c r="F216" s="23" t="str">
        <x:f>IFERROR(VLOOKUP(E216,'Plan kont'!$A$4:$B$35,2,FALSE),"")</x:f>
      </x:c>
      <x:c r="G216" s="40"/>
      <x:c r="H216" s="40"/>
      <x:c r="I216" s="32"/>
      <x:c r="J216" s="32"/>
      <x:c r="K216" s="23" t="str">
        <x:f>IF(B216="","",IF(ABS(SUMIF($B$4:$B$503,B216,$G$4:$G$503)-SUMIF($B$4:$B$503,B216,$H$4:$H$503))&lt;0.01,"OK","NIEZGODNY"))</x:f>
      </x:c>
    </x:row>
    <x:row r="217">
      <x:c r="A217" s="33"/>
      <x:c r="B217" s="32"/>
      <x:c r="C217" s="32"/>
      <x:c r="D217" s="32"/>
      <x:c r="E217" s="32"/>
      <x:c r="F217" s="23" t="str">
        <x:f>IFERROR(VLOOKUP(E217,'Plan kont'!$A$4:$B$35,2,FALSE),"")</x:f>
      </x:c>
      <x:c r="G217" s="40"/>
      <x:c r="H217" s="40"/>
      <x:c r="I217" s="32"/>
      <x:c r="J217" s="32"/>
      <x:c r="K217" s="23" t="str">
        <x:f>IF(B217="","",IF(ABS(SUMIF($B$4:$B$503,B217,$G$4:$G$503)-SUMIF($B$4:$B$503,B217,$H$4:$H$503))&lt;0.01,"OK","NIEZGODNY"))</x:f>
      </x:c>
    </x:row>
    <x:row r="218">
      <x:c r="A218" s="33"/>
      <x:c r="B218" s="32"/>
      <x:c r="C218" s="32"/>
      <x:c r="D218" s="32"/>
      <x:c r="E218" s="32"/>
      <x:c r="F218" s="23" t="str">
        <x:f>IFERROR(VLOOKUP(E218,'Plan kont'!$A$4:$B$35,2,FALSE),"")</x:f>
      </x:c>
      <x:c r="G218" s="40"/>
      <x:c r="H218" s="40"/>
      <x:c r="I218" s="32"/>
      <x:c r="J218" s="32"/>
      <x:c r="K218" s="23" t="str">
        <x:f>IF(B218="","",IF(ABS(SUMIF($B$4:$B$503,B218,$G$4:$G$503)-SUMIF($B$4:$B$503,B218,$H$4:$H$503))&lt;0.01,"OK","NIEZGODNY"))</x:f>
      </x:c>
    </x:row>
    <x:row r="219">
      <x:c r="A219" s="33"/>
      <x:c r="B219" s="32"/>
      <x:c r="C219" s="32"/>
      <x:c r="D219" s="32"/>
      <x:c r="E219" s="32"/>
      <x:c r="F219" s="23" t="str">
        <x:f>IFERROR(VLOOKUP(E219,'Plan kont'!$A$4:$B$35,2,FALSE),"")</x:f>
      </x:c>
      <x:c r="G219" s="40"/>
      <x:c r="H219" s="40"/>
      <x:c r="I219" s="32"/>
      <x:c r="J219" s="32"/>
      <x:c r="K219" s="23" t="str">
        <x:f>IF(B219="","",IF(ABS(SUMIF($B$4:$B$503,B219,$G$4:$G$503)-SUMIF($B$4:$B$503,B219,$H$4:$H$503))&lt;0.01,"OK","NIEZGODNY"))</x:f>
      </x:c>
    </x:row>
    <x:row r="220">
      <x:c r="A220" s="33"/>
      <x:c r="B220" s="32"/>
      <x:c r="C220" s="32"/>
      <x:c r="D220" s="32"/>
      <x:c r="E220" s="32"/>
      <x:c r="F220" s="23" t="str">
        <x:f>IFERROR(VLOOKUP(E220,'Plan kont'!$A$4:$B$35,2,FALSE),"")</x:f>
      </x:c>
      <x:c r="G220" s="40"/>
      <x:c r="H220" s="40"/>
      <x:c r="I220" s="32"/>
      <x:c r="J220" s="32"/>
      <x:c r="K220" s="23" t="str">
        <x:f>IF(B220="","",IF(ABS(SUMIF($B$4:$B$503,B220,$G$4:$G$503)-SUMIF($B$4:$B$503,B220,$H$4:$H$503))&lt;0.01,"OK","NIEZGODNY"))</x:f>
      </x:c>
    </x:row>
    <x:row r="221">
      <x:c r="A221" s="33"/>
      <x:c r="B221" s="32"/>
      <x:c r="C221" s="32"/>
      <x:c r="D221" s="32"/>
      <x:c r="E221" s="32"/>
      <x:c r="F221" s="23" t="str">
        <x:f>IFERROR(VLOOKUP(E221,'Plan kont'!$A$4:$B$35,2,FALSE),"")</x:f>
      </x:c>
      <x:c r="G221" s="40"/>
      <x:c r="H221" s="40"/>
      <x:c r="I221" s="32"/>
      <x:c r="J221" s="32"/>
      <x:c r="K221" s="23" t="str">
        <x:f>IF(B221="","",IF(ABS(SUMIF($B$4:$B$503,B221,$G$4:$G$503)-SUMIF($B$4:$B$503,B221,$H$4:$H$503))&lt;0.01,"OK","NIEZGODNY"))</x:f>
      </x:c>
    </x:row>
    <x:row r="222">
      <x:c r="A222" s="33"/>
      <x:c r="B222" s="32"/>
      <x:c r="C222" s="32"/>
      <x:c r="D222" s="32"/>
      <x:c r="E222" s="32"/>
      <x:c r="F222" s="23" t="str">
        <x:f>IFERROR(VLOOKUP(E222,'Plan kont'!$A$4:$B$35,2,FALSE),"")</x:f>
      </x:c>
      <x:c r="G222" s="40"/>
      <x:c r="H222" s="40"/>
      <x:c r="I222" s="32"/>
      <x:c r="J222" s="32"/>
      <x:c r="K222" s="23" t="str">
        <x:f>IF(B222="","",IF(ABS(SUMIF($B$4:$B$503,B222,$G$4:$G$503)-SUMIF($B$4:$B$503,B222,$H$4:$H$503))&lt;0.01,"OK","NIEZGODNY"))</x:f>
      </x:c>
    </x:row>
    <x:row r="223">
      <x:c r="A223" s="33"/>
      <x:c r="B223" s="32"/>
      <x:c r="C223" s="32"/>
      <x:c r="D223" s="32"/>
      <x:c r="E223" s="32"/>
      <x:c r="F223" s="23" t="str">
        <x:f>IFERROR(VLOOKUP(E223,'Plan kont'!$A$4:$B$35,2,FALSE),"")</x:f>
      </x:c>
      <x:c r="G223" s="40"/>
      <x:c r="H223" s="40"/>
      <x:c r="I223" s="32"/>
      <x:c r="J223" s="32"/>
      <x:c r="K223" s="23" t="str">
        <x:f>IF(B223="","",IF(ABS(SUMIF($B$4:$B$503,B223,$G$4:$G$503)-SUMIF($B$4:$B$503,B223,$H$4:$H$503))&lt;0.01,"OK","NIEZGODNY"))</x:f>
      </x:c>
    </x:row>
    <x:row r="224">
      <x:c r="A224" s="33"/>
      <x:c r="B224" s="32"/>
      <x:c r="C224" s="32"/>
      <x:c r="D224" s="32"/>
      <x:c r="E224" s="32"/>
      <x:c r="F224" s="23" t="str">
        <x:f>IFERROR(VLOOKUP(E224,'Plan kont'!$A$4:$B$35,2,FALSE),"")</x:f>
      </x:c>
      <x:c r="G224" s="40"/>
      <x:c r="H224" s="40"/>
      <x:c r="I224" s="32"/>
      <x:c r="J224" s="32"/>
      <x:c r="K224" s="23" t="str">
        <x:f>IF(B224="","",IF(ABS(SUMIF($B$4:$B$503,B224,$G$4:$G$503)-SUMIF($B$4:$B$503,B224,$H$4:$H$503))&lt;0.01,"OK","NIEZGODNY"))</x:f>
      </x:c>
    </x:row>
    <x:row r="225">
      <x:c r="A225" s="33"/>
      <x:c r="B225" s="32"/>
      <x:c r="C225" s="32"/>
      <x:c r="D225" s="32"/>
      <x:c r="E225" s="32"/>
      <x:c r="F225" s="23" t="str">
        <x:f>IFERROR(VLOOKUP(E225,'Plan kont'!$A$4:$B$35,2,FALSE),"")</x:f>
      </x:c>
      <x:c r="G225" s="40"/>
      <x:c r="H225" s="40"/>
      <x:c r="I225" s="32"/>
      <x:c r="J225" s="32"/>
      <x:c r="K225" s="23" t="str">
        <x:f>IF(B225="","",IF(ABS(SUMIF($B$4:$B$503,B225,$G$4:$G$503)-SUMIF($B$4:$B$503,B225,$H$4:$H$503))&lt;0.01,"OK","NIEZGODNY"))</x:f>
      </x:c>
    </x:row>
    <x:row r="226">
      <x:c r="A226" s="33"/>
      <x:c r="B226" s="32"/>
      <x:c r="C226" s="32"/>
      <x:c r="D226" s="32"/>
      <x:c r="E226" s="32"/>
      <x:c r="F226" s="23" t="str">
        <x:f>IFERROR(VLOOKUP(E226,'Plan kont'!$A$4:$B$35,2,FALSE),"")</x:f>
      </x:c>
      <x:c r="G226" s="40"/>
      <x:c r="H226" s="40"/>
      <x:c r="I226" s="32"/>
      <x:c r="J226" s="32"/>
      <x:c r="K226" s="23" t="str">
        <x:f>IF(B226="","",IF(ABS(SUMIF($B$4:$B$503,B226,$G$4:$G$503)-SUMIF($B$4:$B$503,B226,$H$4:$H$503))&lt;0.01,"OK","NIEZGODNY"))</x:f>
      </x:c>
    </x:row>
    <x:row r="227">
      <x:c r="A227" s="33"/>
      <x:c r="B227" s="32"/>
      <x:c r="C227" s="32"/>
      <x:c r="D227" s="32"/>
      <x:c r="E227" s="32"/>
      <x:c r="F227" s="23" t="str">
        <x:f>IFERROR(VLOOKUP(E227,'Plan kont'!$A$4:$B$35,2,FALSE),"")</x:f>
      </x:c>
      <x:c r="G227" s="40"/>
      <x:c r="H227" s="40"/>
      <x:c r="I227" s="32"/>
      <x:c r="J227" s="32"/>
      <x:c r="K227" s="23" t="str">
        <x:f>IF(B227="","",IF(ABS(SUMIF($B$4:$B$503,B227,$G$4:$G$503)-SUMIF($B$4:$B$503,B227,$H$4:$H$503))&lt;0.01,"OK","NIEZGODNY"))</x:f>
      </x:c>
    </x:row>
    <x:row r="228">
      <x:c r="A228" s="33"/>
      <x:c r="B228" s="32"/>
      <x:c r="C228" s="32"/>
      <x:c r="D228" s="32"/>
      <x:c r="E228" s="32"/>
      <x:c r="F228" s="23" t="str">
        <x:f>IFERROR(VLOOKUP(E228,'Plan kont'!$A$4:$B$35,2,FALSE),"")</x:f>
      </x:c>
      <x:c r="G228" s="40"/>
      <x:c r="H228" s="40"/>
      <x:c r="I228" s="32"/>
      <x:c r="J228" s="32"/>
      <x:c r="K228" s="23" t="str">
        <x:f>IF(B228="","",IF(ABS(SUMIF($B$4:$B$503,B228,$G$4:$G$503)-SUMIF($B$4:$B$503,B228,$H$4:$H$503))&lt;0.01,"OK","NIEZGODNY"))</x:f>
      </x:c>
    </x:row>
    <x:row r="229">
      <x:c r="A229" s="33"/>
      <x:c r="B229" s="32"/>
      <x:c r="C229" s="32"/>
      <x:c r="D229" s="32"/>
      <x:c r="E229" s="32"/>
      <x:c r="F229" s="23" t="str">
        <x:f>IFERROR(VLOOKUP(E229,'Plan kont'!$A$4:$B$35,2,FALSE),"")</x:f>
      </x:c>
      <x:c r="G229" s="40"/>
      <x:c r="H229" s="40"/>
      <x:c r="I229" s="32"/>
      <x:c r="J229" s="32"/>
      <x:c r="K229" s="23" t="str">
        <x:f>IF(B229="","",IF(ABS(SUMIF($B$4:$B$503,B229,$G$4:$G$503)-SUMIF($B$4:$B$503,B229,$H$4:$H$503))&lt;0.01,"OK","NIEZGODNY"))</x:f>
      </x:c>
    </x:row>
    <x:row r="230">
      <x:c r="A230" s="33"/>
      <x:c r="B230" s="32"/>
      <x:c r="C230" s="32"/>
      <x:c r="D230" s="32"/>
      <x:c r="E230" s="32"/>
      <x:c r="F230" s="23" t="str">
        <x:f>IFERROR(VLOOKUP(E230,'Plan kont'!$A$4:$B$35,2,FALSE),"")</x:f>
      </x:c>
      <x:c r="G230" s="40"/>
      <x:c r="H230" s="40"/>
      <x:c r="I230" s="32"/>
      <x:c r="J230" s="32"/>
      <x:c r="K230" s="23" t="str">
        <x:f>IF(B230="","",IF(ABS(SUMIF($B$4:$B$503,B230,$G$4:$G$503)-SUMIF($B$4:$B$503,B230,$H$4:$H$503))&lt;0.01,"OK","NIEZGODNY"))</x:f>
      </x:c>
    </x:row>
    <x:row r="231">
      <x:c r="A231" s="33"/>
      <x:c r="B231" s="32"/>
      <x:c r="C231" s="32"/>
      <x:c r="D231" s="32"/>
      <x:c r="E231" s="32"/>
      <x:c r="F231" s="23" t="str">
        <x:f>IFERROR(VLOOKUP(E231,'Plan kont'!$A$4:$B$35,2,FALSE),"")</x:f>
      </x:c>
      <x:c r="G231" s="40"/>
      <x:c r="H231" s="40"/>
      <x:c r="I231" s="32"/>
      <x:c r="J231" s="32"/>
      <x:c r="K231" s="23" t="str">
        <x:f>IF(B231="","",IF(ABS(SUMIF($B$4:$B$503,B231,$G$4:$G$503)-SUMIF($B$4:$B$503,B231,$H$4:$H$503))&lt;0.01,"OK","NIEZGODNY"))</x:f>
      </x:c>
    </x:row>
    <x:row r="232">
      <x:c r="A232" s="33"/>
      <x:c r="B232" s="32"/>
      <x:c r="C232" s="32"/>
      <x:c r="D232" s="32"/>
      <x:c r="E232" s="32"/>
      <x:c r="F232" s="23" t="str">
        <x:f>IFERROR(VLOOKUP(E232,'Plan kont'!$A$4:$B$35,2,FALSE),"")</x:f>
      </x:c>
      <x:c r="G232" s="40"/>
      <x:c r="H232" s="40"/>
      <x:c r="I232" s="32"/>
      <x:c r="J232" s="32"/>
      <x:c r="K232" s="23" t="str">
        <x:f>IF(B232="","",IF(ABS(SUMIF($B$4:$B$503,B232,$G$4:$G$503)-SUMIF($B$4:$B$503,B232,$H$4:$H$503))&lt;0.01,"OK","NIEZGODNY"))</x:f>
      </x:c>
    </x:row>
    <x:row r="233">
      <x:c r="A233" s="33"/>
      <x:c r="B233" s="32"/>
      <x:c r="C233" s="32"/>
      <x:c r="D233" s="32"/>
      <x:c r="E233" s="32"/>
      <x:c r="F233" s="23" t="str">
        <x:f>IFERROR(VLOOKUP(E233,'Plan kont'!$A$4:$B$35,2,FALSE),"")</x:f>
      </x:c>
      <x:c r="G233" s="40"/>
      <x:c r="H233" s="40"/>
      <x:c r="I233" s="32"/>
      <x:c r="J233" s="32"/>
      <x:c r="K233" s="23" t="str">
        <x:f>IF(B233="","",IF(ABS(SUMIF($B$4:$B$503,B233,$G$4:$G$503)-SUMIF($B$4:$B$503,B233,$H$4:$H$503))&lt;0.01,"OK","NIEZGODNY"))</x:f>
      </x:c>
    </x:row>
    <x:row r="234">
      <x:c r="A234" s="33"/>
      <x:c r="B234" s="32"/>
      <x:c r="C234" s="32"/>
      <x:c r="D234" s="32"/>
      <x:c r="E234" s="32"/>
      <x:c r="F234" s="23" t="str">
        <x:f>IFERROR(VLOOKUP(E234,'Plan kont'!$A$4:$B$35,2,FALSE),"")</x:f>
      </x:c>
      <x:c r="G234" s="40"/>
      <x:c r="H234" s="40"/>
      <x:c r="I234" s="32"/>
      <x:c r="J234" s="32"/>
      <x:c r="K234" s="23" t="str">
        <x:f>IF(B234="","",IF(ABS(SUMIF($B$4:$B$503,B234,$G$4:$G$503)-SUMIF($B$4:$B$503,B234,$H$4:$H$503))&lt;0.01,"OK","NIEZGODNY"))</x:f>
      </x:c>
    </x:row>
    <x:row r="235">
      <x:c r="A235" s="33"/>
      <x:c r="B235" s="32"/>
      <x:c r="C235" s="32"/>
      <x:c r="D235" s="32"/>
      <x:c r="E235" s="32"/>
      <x:c r="F235" s="23" t="str">
        <x:f>IFERROR(VLOOKUP(E235,'Plan kont'!$A$4:$B$35,2,FALSE),"")</x:f>
      </x:c>
      <x:c r="G235" s="40"/>
      <x:c r="H235" s="40"/>
      <x:c r="I235" s="32"/>
      <x:c r="J235" s="32"/>
      <x:c r="K235" s="23" t="str">
        <x:f>IF(B235="","",IF(ABS(SUMIF($B$4:$B$503,B235,$G$4:$G$503)-SUMIF($B$4:$B$503,B235,$H$4:$H$503))&lt;0.01,"OK","NIEZGODNY"))</x:f>
      </x:c>
    </x:row>
    <x:row r="236">
      <x:c r="A236" s="33"/>
      <x:c r="B236" s="32"/>
      <x:c r="C236" s="32"/>
      <x:c r="D236" s="32"/>
      <x:c r="E236" s="32"/>
      <x:c r="F236" s="23" t="str">
        <x:f>IFERROR(VLOOKUP(E236,'Plan kont'!$A$4:$B$35,2,FALSE),"")</x:f>
      </x:c>
      <x:c r="G236" s="40"/>
      <x:c r="H236" s="40"/>
      <x:c r="I236" s="32"/>
      <x:c r="J236" s="32"/>
      <x:c r="K236" s="23" t="str">
        <x:f>IF(B236="","",IF(ABS(SUMIF($B$4:$B$503,B236,$G$4:$G$503)-SUMIF($B$4:$B$503,B236,$H$4:$H$503))&lt;0.01,"OK","NIEZGODNY"))</x:f>
      </x:c>
    </x:row>
    <x:row r="237">
      <x:c r="A237" s="33"/>
      <x:c r="B237" s="32"/>
      <x:c r="C237" s="32"/>
      <x:c r="D237" s="32"/>
      <x:c r="E237" s="32"/>
      <x:c r="F237" s="23" t="str">
        <x:f>IFERROR(VLOOKUP(E237,'Plan kont'!$A$4:$B$35,2,FALSE),"")</x:f>
      </x:c>
      <x:c r="G237" s="40"/>
      <x:c r="H237" s="40"/>
      <x:c r="I237" s="32"/>
      <x:c r="J237" s="32"/>
      <x:c r="K237" s="23" t="str">
        <x:f>IF(B237="","",IF(ABS(SUMIF($B$4:$B$503,B237,$G$4:$G$503)-SUMIF($B$4:$B$503,B237,$H$4:$H$503))&lt;0.01,"OK","NIEZGODNY"))</x:f>
      </x:c>
    </x:row>
    <x:row r="238">
      <x:c r="A238" s="33"/>
      <x:c r="B238" s="32"/>
      <x:c r="C238" s="32"/>
      <x:c r="D238" s="32"/>
      <x:c r="E238" s="32"/>
      <x:c r="F238" s="23" t="str">
        <x:f>IFERROR(VLOOKUP(E238,'Plan kont'!$A$4:$B$35,2,FALSE),"")</x:f>
      </x:c>
      <x:c r="G238" s="40"/>
      <x:c r="H238" s="40"/>
      <x:c r="I238" s="32"/>
      <x:c r="J238" s="32"/>
      <x:c r="K238" s="23" t="str">
        <x:f>IF(B238="","",IF(ABS(SUMIF($B$4:$B$503,B238,$G$4:$G$503)-SUMIF($B$4:$B$503,B238,$H$4:$H$503))&lt;0.01,"OK","NIEZGODNY"))</x:f>
      </x:c>
    </x:row>
    <x:row r="239">
      <x:c r="A239" s="33"/>
      <x:c r="B239" s="32"/>
      <x:c r="C239" s="32"/>
      <x:c r="D239" s="32"/>
      <x:c r="E239" s="32"/>
      <x:c r="F239" s="23" t="str">
        <x:f>IFERROR(VLOOKUP(E239,'Plan kont'!$A$4:$B$35,2,FALSE),"")</x:f>
      </x:c>
      <x:c r="G239" s="40"/>
      <x:c r="H239" s="40"/>
      <x:c r="I239" s="32"/>
      <x:c r="J239" s="32"/>
      <x:c r="K239" s="23" t="str">
        <x:f>IF(B239="","",IF(ABS(SUMIF($B$4:$B$503,B239,$G$4:$G$503)-SUMIF($B$4:$B$503,B239,$H$4:$H$503))&lt;0.01,"OK","NIEZGODNY"))</x:f>
      </x:c>
    </x:row>
    <x:row r="240">
      <x:c r="A240" s="33"/>
      <x:c r="B240" s="32"/>
      <x:c r="C240" s="32"/>
      <x:c r="D240" s="32"/>
      <x:c r="E240" s="32"/>
      <x:c r="F240" s="23" t="str">
        <x:f>IFERROR(VLOOKUP(E240,'Plan kont'!$A$4:$B$35,2,FALSE),"")</x:f>
      </x:c>
      <x:c r="G240" s="40"/>
      <x:c r="H240" s="40"/>
      <x:c r="I240" s="32"/>
      <x:c r="J240" s="32"/>
      <x:c r="K240" s="23" t="str">
        <x:f>IF(B240="","",IF(ABS(SUMIF($B$4:$B$503,B240,$G$4:$G$503)-SUMIF($B$4:$B$503,B240,$H$4:$H$503))&lt;0.01,"OK","NIEZGODNY"))</x:f>
      </x:c>
    </x:row>
    <x:row r="241">
      <x:c r="A241" s="33"/>
      <x:c r="B241" s="32"/>
      <x:c r="C241" s="32"/>
      <x:c r="D241" s="32"/>
      <x:c r="E241" s="32"/>
      <x:c r="F241" s="23" t="str">
        <x:f>IFERROR(VLOOKUP(E241,'Plan kont'!$A$4:$B$35,2,FALSE),"")</x:f>
      </x:c>
      <x:c r="G241" s="40"/>
      <x:c r="H241" s="40"/>
      <x:c r="I241" s="32"/>
      <x:c r="J241" s="32"/>
      <x:c r="K241" s="23" t="str">
        <x:f>IF(B241="","",IF(ABS(SUMIF($B$4:$B$503,B241,$G$4:$G$503)-SUMIF($B$4:$B$503,B241,$H$4:$H$503))&lt;0.01,"OK","NIEZGODNY"))</x:f>
      </x:c>
    </x:row>
    <x:row r="242">
      <x:c r="A242" s="33"/>
      <x:c r="B242" s="32"/>
      <x:c r="C242" s="32"/>
      <x:c r="D242" s="32"/>
      <x:c r="E242" s="32"/>
      <x:c r="F242" s="23" t="str">
        <x:f>IFERROR(VLOOKUP(E242,'Plan kont'!$A$4:$B$35,2,FALSE),"")</x:f>
      </x:c>
      <x:c r="G242" s="40"/>
      <x:c r="H242" s="40"/>
      <x:c r="I242" s="32"/>
      <x:c r="J242" s="32"/>
      <x:c r="K242" s="23" t="str">
        <x:f>IF(B242="","",IF(ABS(SUMIF($B$4:$B$503,B242,$G$4:$G$503)-SUMIF($B$4:$B$503,B242,$H$4:$H$503))&lt;0.01,"OK","NIEZGODNY"))</x:f>
      </x:c>
    </x:row>
    <x:row r="243">
      <x:c r="A243" s="33"/>
      <x:c r="B243" s="32"/>
      <x:c r="C243" s="32"/>
      <x:c r="D243" s="32"/>
      <x:c r="E243" s="32"/>
      <x:c r="F243" s="23" t="str">
        <x:f>IFERROR(VLOOKUP(E243,'Plan kont'!$A$4:$B$35,2,FALSE),"")</x:f>
      </x:c>
      <x:c r="G243" s="40"/>
      <x:c r="H243" s="40"/>
      <x:c r="I243" s="32"/>
      <x:c r="J243" s="32"/>
      <x:c r="K243" s="23" t="str">
        <x:f>IF(B243="","",IF(ABS(SUMIF($B$4:$B$503,B243,$G$4:$G$503)-SUMIF($B$4:$B$503,B243,$H$4:$H$503))&lt;0.01,"OK","NIEZGODNY"))</x:f>
      </x:c>
    </x:row>
    <x:row r="244">
      <x:c r="A244" s="33"/>
      <x:c r="B244" s="32"/>
      <x:c r="C244" s="32"/>
      <x:c r="D244" s="32"/>
      <x:c r="E244" s="32"/>
      <x:c r="F244" s="23" t="str">
        <x:f>IFERROR(VLOOKUP(E244,'Plan kont'!$A$4:$B$35,2,FALSE),"")</x:f>
      </x:c>
      <x:c r="G244" s="40"/>
      <x:c r="H244" s="40"/>
      <x:c r="I244" s="32"/>
      <x:c r="J244" s="32"/>
      <x:c r="K244" s="23" t="str">
        <x:f>IF(B244="","",IF(ABS(SUMIF($B$4:$B$503,B244,$G$4:$G$503)-SUMIF($B$4:$B$503,B244,$H$4:$H$503))&lt;0.01,"OK","NIEZGODNY"))</x:f>
      </x:c>
    </x:row>
    <x:row r="245">
      <x:c r="A245" s="33"/>
      <x:c r="B245" s="32"/>
      <x:c r="C245" s="32"/>
      <x:c r="D245" s="32"/>
      <x:c r="E245" s="32"/>
      <x:c r="F245" s="23" t="str">
        <x:f>IFERROR(VLOOKUP(E245,'Plan kont'!$A$4:$B$35,2,FALSE),"")</x:f>
      </x:c>
      <x:c r="G245" s="40"/>
      <x:c r="H245" s="40"/>
      <x:c r="I245" s="32"/>
      <x:c r="J245" s="32"/>
      <x:c r="K245" s="23" t="str">
        <x:f>IF(B245="","",IF(ABS(SUMIF($B$4:$B$503,B245,$G$4:$G$503)-SUMIF($B$4:$B$503,B245,$H$4:$H$503))&lt;0.01,"OK","NIEZGODNY"))</x:f>
      </x:c>
    </x:row>
    <x:row r="246">
      <x:c r="A246" s="33"/>
      <x:c r="B246" s="32"/>
      <x:c r="C246" s="32"/>
      <x:c r="D246" s="32"/>
      <x:c r="E246" s="32"/>
      <x:c r="F246" s="23" t="str">
        <x:f>IFERROR(VLOOKUP(E246,'Plan kont'!$A$4:$B$35,2,FALSE),"")</x:f>
      </x:c>
      <x:c r="G246" s="40"/>
      <x:c r="H246" s="40"/>
      <x:c r="I246" s="32"/>
      <x:c r="J246" s="32"/>
      <x:c r="K246" s="23" t="str">
        <x:f>IF(B246="","",IF(ABS(SUMIF($B$4:$B$503,B246,$G$4:$G$503)-SUMIF($B$4:$B$503,B246,$H$4:$H$503))&lt;0.01,"OK","NIEZGODNY"))</x:f>
      </x:c>
    </x:row>
    <x:row r="247">
      <x:c r="A247" s="33"/>
      <x:c r="B247" s="32"/>
      <x:c r="C247" s="32"/>
      <x:c r="D247" s="32"/>
      <x:c r="E247" s="32"/>
      <x:c r="F247" s="23" t="str">
        <x:f>IFERROR(VLOOKUP(E247,'Plan kont'!$A$4:$B$35,2,FALSE),"")</x:f>
      </x:c>
      <x:c r="G247" s="40"/>
      <x:c r="H247" s="40"/>
      <x:c r="I247" s="32"/>
      <x:c r="J247" s="32"/>
      <x:c r="K247" s="23" t="str">
        <x:f>IF(B247="","",IF(ABS(SUMIF($B$4:$B$503,B247,$G$4:$G$503)-SUMIF($B$4:$B$503,B247,$H$4:$H$503))&lt;0.01,"OK","NIEZGODNY"))</x:f>
      </x:c>
    </x:row>
    <x:row r="248">
      <x:c r="A248" s="33"/>
      <x:c r="B248" s="32"/>
      <x:c r="C248" s="32"/>
      <x:c r="D248" s="32"/>
      <x:c r="E248" s="32"/>
      <x:c r="F248" s="23" t="str">
        <x:f>IFERROR(VLOOKUP(E248,'Plan kont'!$A$4:$B$35,2,FALSE),"")</x:f>
      </x:c>
      <x:c r="G248" s="40"/>
      <x:c r="H248" s="40"/>
      <x:c r="I248" s="32"/>
      <x:c r="J248" s="32"/>
      <x:c r="K248" s="23" t="str">
        <x:f>IF(B248="","",IF(ABS(SUMIF($B$4:$B$503,B248,$G$4:$G$503)-SUMIF($B$4:$B$503,B248,$H$4:$H$503))&lt;0.01,"OK","NIEZGODNY"))</x:f>
      </x:c>
    </x:row>
    <x:row r="249">
      <x:c r="A249" s="33"/>
      <x:c r="B249" s="32"/>
      <x:c r="C249" s="32"/>
      <x:c r="D249" s="32"/>
      <x:c r="E249" s="32"/>
      <x:c r="F249" s="23" t="str">
        <x:f>IFERROR(VLOOKUP(E249,'Plan kont'!$A$4:$B$35,2,FALSE),"")</x:f>
      </x:c>
      <x:c r="G249" s="40"/>
      <x:c r="H249" s="40"/>
      <x:c r="I249" s="32"/>
      <x:c r="J249" s="32"/>
      <x:c r="K249" s="23" t="str">
        <x:f>IF(B249="","",IF(ABS(SUMIF($B$4:$B$503,B249,$G$4:$G$503)-SUMIF($B$4:$B$503,B249,$H$4:$H$503))&lt;0.01,"OK","NIEZGODNY"))</x:f>
      </x:c>
    </x:row>
    <x:row r="250">
      <x:c r="A250" s="33"/>
      <x:c r="B250" s="32"/>
      <x:c r="C250" s="32"/>
      <x:c r="D250" s="32"/>
      <x:c r="E250" s="32"/>
      <x:c r="F250" s="23" t="str">
        <x:f>IFERROR(VLOOKUP(E250,'Plan kont'!$A$4:$B$35,2,FALSE),"")</x:f>
      </x:c>
      <x:c r="G250" s="40"/>
      <x:c r="H250" s="40"/>
      <x:c r="I250" s="32"/>
      <x:c r="J250" s="32"/>
      <x:c r="K250" s="23" t="str">
        <x:f>IF(B250="","",IF(ABS(SUMIF($B$4:$B$503,B250,$G$4:$G$503)-SUMIF($B$4:$B$503,B250,$H$4:$H$503))&lt;0.01,"OK","NIEZGODNY"))</x:f>
      </x:c>
    </x:row>
    <x:row r="251">
      <x:c r="A251" s="33"/>
      <x:c r="B251" s="32"/>
      <x:c r="C251" s="32"/>
      <x:c r="D251" s="32"/>
      <x:c r="E251" s="32"/>
      <x:c r="F251" s="23" t="str">
        <x:f>IFERROR(VLOOKUP(E251,'Plan kont'!$A$4:$B$35,2,FALSE),"")</x:f>
      </x:c>
      <x:c r="G251" s="40"/>
      <x:c r="H251" s="40"/>
      <x:c r="I251" s="32"/>
      <x:c r="J251" s="32"/>
      <x:c r="K251" s="23" t="str">
        <x:f>IF(B251="","",IF(ABS(SUMIF($B$4:$B$503,B251,$G$4:$G$503)-SUMIF($B$4:$B$503,B251,$H$4:$H$503))&lt;0.01,"OK","NIEZGODNY"))</x:f>
      </x:c>
    </x:row>
    <x:row r="252">
      <x:c r="A252" s="33"/>
      <x:c r="B252" s="32"/>
      <x:c r="C252" s="32"/>
      <x:c r="D252" s="32"/>
      <x:c r="E252" s="32"/>
      <x:c r="F252" s="23" t="str">
        <x:f>IFERROR(VLOOKUP(E252,'Plan kont'!$A$4:$B$35,2,FALSE),"")</x:f>
      </x:c>
      <x:c r="G252" s="40"/>
      <x:c r="H252" s="40"/>
      <x:c r="I252" s="32"/>
      <x:c r="J252" s="32"/>
      <x:c r="K252" s="23" t="str">
        <x:f>IF(B252="","",IF(ABS(SUMIF($B$4:$B$503,B252,$G$4:$G$503)-SUMIF($B$4:$B$503,B252,$H$4:$H$503))&lt;0.01,"OK","NIEZGODNY"))</x:f>
      </x:c>
    </x:row>
    <x:row r="253">
      <x:c r="A253" s="33"/>
      <x:c r="B253" s="32"/>
      <x:c r="C253" s="32"/>
      <x:c r="D253" s="32"/>
      <x:c r="E253" s="32"/>
      <x:c r="F253" s="23" t="str">
        <x:f>IFERROR(VLOOKUP(E253,'Plan kont'!$A$4:$B$35,2,FALSE),"")</x:f>
      </x:c>
      <x:c r="G253" s="40"/>
      <x:c r="H253" s="40"/>
      <x:c r="I253" s="32"/>
      <x:c r="J253" s="32"/>
      <x:c r="K253" s="23" t="str">
        <x:f>IF(B253="","",IF(ABS(SUMIF($B$4:$B$503,B253,$G$4:$G$503)-SUMIF($B$4:$B$503,B253,$H$4:$H$503))&lt;0.01,"OK","NIEZGODNY"))</x:f>
      </x:c>
    </x:row>
    <x:row r="254">
      <x:c r="A254" s="33"/>
      <x:c r="B254" s="32"/>
      <x:c r="C254" s="32"/>
      <x:c r="D254" s="32"/>
      <x:c r="E254" s="32"/>
      <x:c r="F254" s="23" t="str">
        <x:f>IFERROR(VLOOKUP(E254,'Plan kont'!$A$4:$B$35,2,FALSE),"")</x:f>
      </x:c>
      <x:c r="G254" s="40"/>
      <x:c r="H254" s="40"/>
      <x:c r="I254" s="32"/>
      <x:c r="J254" s="32"/>
      <x:c r="K254" s="23" t="str">
        <x:f>IF(B254="","",IF(ABS(SUMIF($B$4:$B$503,B254,$G$4:$G$503)-SUMIF($B$4:$B$503,B254,$H$4:$H$503))&lt;0.01,"OK","NIEZGODNY"))</x:f>
      </x:c>
    </x:row>
    <x:row r="255">
      <x:c r="A255" s="33"/>
      <x:c r="B255" s="32"/>
      <x:c r="C255" s="32"/>
      <x:c r="D255" s="32"/>
      <x:c r="E255" s="32"/>
      <x:c r="F255" s="23" t="str">
        <x:f>IFERROR(VLOOKUP(E255,'Plan kont'!$A$4:$B$35,2,FALSE),"")</x:f>
      </x:c>
      <x:c r="G255" s="40"/>
      <x:c r="H255" s="40"/>
      <x:c r="I255" s="32"/>
      <x:c r="J255" s="32"/>
      <x:c r="K255" s="23" t="str">
        <x:f>IF(B255="","",IF(ABS(SUMIF($B$4:$B$503,B255,$G$4:$G$503)-SUMIF($B$4:$B$503,B255,$H$4:$H$503))&lt;0.01,"OK","NIEZGODNY"))</x:f>
      </x:c>
    </x:row>
    <x:row r="256">
      <x:c r="A256" s="33"/>
      <x:c r="B256" s="32"/>
      <x:c r="C256" s="32"/>
      <x:c r="D256" s="32"/>
      <x:c r="E256" s="32"/>
      <x:c r="F256" s="23" t="str">
        <x:f>IFERROR(VLOOKUP(E256,'Plan kont'!$A$4:$B$35,2,FALSE),"")</x:f>
      </x:c>
      <x:c r="G256" s="40"/>
      <x:c r="H256" s="40"/>
      <x:c r="I256" s="32"/>
      <x:c r="J256" s="32"/>
      <x:c r="K256" s="23" t="str">
        <x:f>IF(B256="","",IF(ABS(SUMIF($B$4:$B$503,B256,$G$4:$G$503)-SUMIF($B$4:$B$503,B256,$H$4:$H$503))&lt;0.01,"OK","NIEZGODNY"))</x:f>
      </x:c>
    </x:row>
    <x:row r="257">
      <x:c r="A257" s="33"/>
      <x:c r="B257" s="32"/>
      <x:c r="C257" s="32"/>
      <x:c r="D257" s="32"/>
      <x:c r="E257" s="32"/>
      <x:c r="F257" s="23" t="str">
        <x:f>IFERROR(VLOOKUP(E257,'Plan kont'!$A$4:$B$35,2,FALSE),"")</x:f>
      </x:c>
      <x:c r="G257" s="40"/>
      <x:c r="H257" s="40"/>
      <x:c r="I257" s="32"/>
      <x:c r="J257" s="32"/>
      <x:c r="K257" s="23" t="str">
        <x:f>IF(B257="","",IF(ABS(SUMIF($B$4:$B$503,B257,$G$4:$G$503)-SUMIF($B$4:$B$503,B257,$H$4:$H$503))&lt;0.01,"OK","NIEZGODNY"))</x:f>
      </x:c>
    </x:row>
    <x:row r="258">
      <x:c r="A258" s="33"/>
      <x:c r="B258" s="32"/>
      <x:c r="C258" s="32"/>
      <x:c r="D258" s="32"/>
      <x:c r="E258" s="32"/>
      <x:c r="F258" s="23" t="str">
        <x:f>IFERROR(VLOOKUP(E258,'Plan kont'!$A$4:$B$35,2,FALSE),"")</x:f>
      </x:c>
      <x:c r="G258" s="40"/>
      <x:c r="H258" s="40"/>
      <x:c r="I258" s="32"/>
      <x:c r="J258" s="32"/>
      <x:c r="K258" s="23" t="str">
        <x:f>IF(B258="","",IF(ABS(SUMIF($B$4:$B$503,B258,$G$4:$G$503)-SUMIF($B$4:$B$503,B258,$H$4:$H$503))&lt;0.01,"OK","NIEZGODNY"))</x:f>
      </x:c>
    </x:row>
    <x:row r="259">
      <x:c r="A259" s="33"/>
      <x:c r="B259" s="32"/>
      <x:c r="C259" s="32"/>
      <x:c r="D259" s="32"/>
      <x:c r="E259" s="32"/>
      <x:c r="F259" s="23" t="str">
        <x:f>IFERROR(VLOOKUP(E259,'Plan kont'!$A$4:$B$35,2,FALSE),"")</x:f>
      </x:c>
      <x:c r="G259" s="40"/>
      <x:c r="H259" s="40"/>
      <x:c r="I259" s="32"/>
      <x:c r="J259" s="32"/>
      <x:c r="K259" s="23" t="str">
        <x:f>IF(B259="","",IF(ABS(SUMIF($B$4:$B$503,B259,$G$4:$G$503)-SUMIF($B$4:$B$503,B259,$H$4:$H$503))&lt;0.01,"OK","NIEZGODNY"))</x:f>
      </x:c>
    </x:row>
    <x:row r="260">
      <x:c r="A260" s="33"/>
      <x:c r="B260" s="32"/>
      <x:c r="C260" s="32"/>
      <x:c r="D260" s="32"/>
      <x:c r="E260" s="32"/>
      <x:c r="F260" s="23" t="str">
        <x:f>IFERROR(VLOOKUP(E260,'Plan kont'!$A$4:$B$35,2,FALSE),"")</x:f>
      </x:c>
      <x:c r="G260" s="40"/>
      <x:c r="H260" s="40"/>
      <x:c r="I260" s="32"/>
      <x:c r="J260" s="32"/>
      <x:c r="K260" s="23" t="str">
        <x:f>IF(B260="","",IF(ABS(SUMIF($B$4:$B$503,B260,$G$4:$G$503)-SUMIF($B$4:$B$503,B260,$H$4:$H$503))&lt;0.01,"OK","NIEZGODNY"))</x:f>
      </x:c>
    </x:row>
    <x:row r="261">
      <x:c r="A261" s="33"/>
      <x:c r="B261" s="32"/>
      <x:c r="C261" s="32"/>
      <x:c r="D261" s="32"/>
      <x:c r="E261" s="32"/>
      <x:c r="F261" s="23" t="str">
        <x:f>IFERROR(VLOOKUP(E261,'Plan kont'!$A$4:$B$35,2,FALSE),"")</x:f>
      </x:c>
      <x:c r="G261" s="40"/>
      <x:c r="H261" s="40"/>
      <x:c r="I261" s="32"/>
      <x:c r="J261" s="32"/>
      <x:c r="K261" s="23" t="str">
        <x:f>IF(B261="","",IF(ABS(SUMIF($B$4:$B$503,B261,$G$4:$G$503)-SUMIF($B$4:$B$503,B261,$H$4:$H$503))&lt;0.01,"OK","NIEZGODNY"))</x:f>
      </x:c>
    </x:row>
    <x:row r="262">
      <x:c r="A262" s="33"/>
      <x:c r="B262" s="32"/>
      <x:c r="C262" s="32"/>
      <x:c r="D262" s="32"/>
      <x:c r="E262" s="32"/>
      <x:c r="F262" s="23" t="str">
        <x:f>IFERROR(VLOOKUP(E262,'Plan kont'!$A$4:$B$35,2,FALSE),"")</x:f>
      </x:c>
      <x:c r="G262" s="40"/>
      <x:c r="H262" s="40"/>
      <x:c r="I262" s="32"/>
      <x:c r="J262" s="32"/>
      <x:c r="K262" s="23" t="str">
        <x:f>IF(B262="","",IF(ABS(SUMIF($B$4:$B$503,B262,$G$4:$G$503)-SUMIF($B$4:$B$503,B262,$H$4:$H$503))&lt;0.01,"OK","NIEZGODNY"))</x:f>
      </x:c>
    </x:row>
    <x:row r="263">
      <x:c r="A263" s="33"/>
      <x:c r="B263" s="32"/>
      <x:c r="C263" s="32"/>
      <x:c r="D263" s="32"/>
      <x:c r="E263" s="32"/>
      <x:c r="F263" s="23" t="str">
        <x:f>IFERROR(VLOOKUP(E263,'Plan kont'!$A$4:$B$35,2,FALSE),"")</x:f>
      </x:c>
      <x:c r="G263" s="40"/>
      <x:c r="H263" s="40"/>
      <x:c r="I263" s="32"/>
      <x:c r="J263" s="32"/>
      <x:c r="K263" s="23" t="str">
        <x:f>IF(B263="","",IF(ABS(SUMIF($B$4:$B$503,B263,$G$4:$G$503)-SUMIF($B$4:$B$503,B263,$H$4:$H$503))&lt;0.01,"OK","NIEZGODNY"))</x:f>
      </x:c>
    </x:row>
    <x:row r="264">
      <x:c r="A264" s="33"/>
      <x:c r="B264" s="32"/>
      <x:c r="C264" s="32"/>
      <x:c r="D264" s="32"/>
      <x:c r="E264" s="32"/>
      <x:c r="F264" s="23" t="str">
        <x:f>IFERROR(VLOOKUP(E264,'Plan kont'!$A$4:$B$35,2,FALSE),"")</x:f>
      </x:c>
      <x:c r="G264" s="40"/>
      <x:c r="H264" s="40"/>
      <x:c r="I264" s="32"/>
      <x:c r="J264" s="32"/>
      <x:c r="K264" s="23" t="str">
        <x:f>IF(B264="","",IF(ABS(SUMIF($B$4:$B$503,B264,$G$4:$G$503)-SUMIF($B$4:$B$503,B264,$H$4:$H$503))&lt;0.01,"OK","NIEZGODNY"))</x:f>
      </x:c>
    </x:row>
    <x:row r="265">
      <x:c r="A265" s="33"/>
      <x:c r="B265" s="32"/>
      <x:c r="C265" s="32"/>
      <x:c r="D265" s="32"/>
      <x:c r="E265" s="32"/>
      <x:c r="F265" s="23" t="str">
        <x:f>IFERROR(VLOOKUP(E265,'Plan kont'!$A$4:$B$35,2,FALSE),"")</x:f>
      </x:c>
      <x:c r="G265" s="40"/>
      <x:c r="H265" s="40"/>
      <x:c r="I265" s="32"/>
      <x:c r="J265" s="32"/>
      <x:c r="K265" s="23" t="str">
        <x:f>IF(B265="","",IF(ABS(SUMIF($B$4:$B$503,B265,$G$4:$G$503)-SUMIF($B$4:$B$503,B265,$H$4:$H$503))&lt;0.01,"OK","NIEZGODNY"))</x:f>
      </x:c>
    </x:row>
    <x:row r="266">
      <x:c r="A266" s="33"/>
      <x:c r="B266" s="32"/>
      <x:c r="C266" s="32"/>
      <x:c r="D266" s="32"/>
      <x:c r="E266" s="32"/>
      <x:c r="F266" s="23" t="str">
        <x:f>IFERROR(VLOOKUP(E266,'Plan kont'!$A$4:$B$35,2,FALSE),"")</x:f>
      </x:c>
      <x:c r="G266" s="40"/>
      <x:c r="H266" s="40"/>
      <x:c r="I266" s="32"/>
      <x:c r="J266" s="32"/>
      <x:c r="K266" s="23" t="str">
        <x:f>IF(B266="","",IF(ABS(SUMIF($B$4:$B$503,B266,$G$4:$G$503)-SUMIF($B$4:$B$503,B266,$H$4:$H$503))&lt;0.01,"OK","NIEZGODNY"))</x:f>
      </x:c>
    </x:row>
    <x:row r="267">
      <x:c r="A267" s="33"/>
      <x:c r="B267" s="32"/>
      <x:c r="C267" s="32"/>
      <x:c r="D267" s="32"/>
      <x:c r="E267" s="32"/>
      <x:c r="F267" s="23" t="str">
        <x:f>IFERROR(VLOOKUP(E267,'Plan kont'!$A$4:$B$35,2,FALSE),"")</x:f>
      </x:c>
      <x:c r="G267" s="40"/>
      <x:c r="H267" s="40"/>
      <x:c r="I267" s="32"/>
      <x:c r="J267" s="32"/>
      <x:c r="K267" s="23" t="str">
        <x:f>IF(B267="","",IF(ABS(SUMIF($B$4:$B$503,B267,$G$4:$G$503)-SUMIF($B$4:$B$503,B267,$H$4:$H$503))&lt;0.01,"OK","NIEZGODNY"))</x:f>
      </x:c>
    </x:row>
    <x:row r="268">
      <x:c r="A268" s="33"/>
      <x:c r="B268" s="32"/>
      <x:c r="C268" s="32"/>
      <x:c r="D268" s="32"/>
      <x:c r="E268" s="32"/>
      <x:c r="F268" s="23" t="str">
        <x:f>IFERROR(VLOOKUP(E268,'Plan kont'!$A$4:$B$35,2,FALSE),"")</x:f>
      </x:c>
      <x:c r="G268" s="40"/>
      <x:c r="H268" s="40"/>
      <x:c r="I268" s="32"/>
      <x:c r="J268" s="32"/>
      <x:c r="K268" s="23" t="str">
        <x:f>IF(B268="","",IF(ABS(SUMIF($B$4:$B$503,B268,$G$4:$G$503)-SUMIF($B$4:$B$503,B268,$H$4:$H$503))&lt;0.01,"OK","NIEZGODNY"))</x:f>
      </x:c>
    </x:row>
    <x:row r="269">
      <x:c r="A269" s="33"/>
      <x:c r="B269" s="32"/>
      <x:c r="C269" s="32"/>
      <x:c r="D269" s="32"/>
      <x:c r="E269" s="32"/>
      <x:c r="F269" s="23" t="str">
        <x:f>IFERROR(VLOOKUP(E269,'Plan kont'!$A$4:$B$35,2,FALSE),"")</x:f>
      </x:c>
      <x:c r="G269" s="40"/>
      <x:c r="H269" s="40"/>
      <x:c r="I269" s="32"/>
      <x:c r="J269" s="32"/>
      <x:c r="K269" s="23" t="str">
        <x:f>IF(B269="","",IF(ABS(SUMIF($B$4:$B$503,B269,$G$4:$G$503)-SUMIF($B$4:$B$503,B269,$H$4:$H$503))&lt;0.01,"OK","NIEZGODNY"))</x:f>
      </x:c>
    </x:row>
    <x:row r="270">
      <x:c r="A270" s="33"/>
      <x:c r="B270" s="32"/>
      <x:c r="C270" s="32"/>
      <x:c r="D270" s="32"/>
      <x:c r="E270" s="32"/>
      <x:c r="F270" s="23" t="str">
        <x:f>IFERROR(VLOOKUP(E270,'Plan kont'!$A$4:$B$35,2,FALSE),"")</x:f>
      </x:c>
      <x:c r="G270" s="40"/>
      <x:c r="H270" s="40"/>
      <x:c r="I270" s="32"/>
      <x:c r="J270" s="32"/>
      <x:c r="K270" s="23" t="str">
        <x:f>IF(B270="","",IF(ABS(SUMIF($B$4:$B$503,B270,$G$4:$G$503)-SUMIF($B$4:$B$503,B270,$H$4:$H$503))&lt;0.01,"OK","NIEZGODNY"))</x:f>
      </x:c>
    </x:row>
    <x:row r="271">
      <x:c r="A271" s="33"/>
      <x:c r="B271" s="32"/>
      <x:c r="C271" s="32"/>
      <x:c r="D271" s="32"/>
      <x:c r="E271" s="32"/>
      <x:c r="F271" s="23" t="str">
        <x:f>IFERROR(VLOOKUP(E271,'Plan kont'!$A$4:$B$35,2,FALSE),"")</x:f>
      </x:c>
      <x:c r="G271" s="40"/>
      <x:c r="H271" s="40"/>
      <x:c r="I271" s="32"/>
      <x:c r="J271" s="32"/>
      <x:c r="K271" s="23" t="str">
        <x:f>IF(B271="","",IF(ABS(SUMIF($B$4:$B$503,B271,$G$4:$G$503)-SUMIF($B$4:$B$503,B271,$H$4:$H$503))&lt;0.01,"OK","NIEZGODNY"))</x:f>
      </x:c>
    </x:row>
    <x:row r="272">
      <x:c r="A272" s="33"/>
      <x:c r="B272" s="32"/>
      <x:c r="C272" s="32"/>
      <x:c r="D272" s="32"/>
      <x:c r="E272" s="32"/>
      <x:c r="F272" s="23" t="str">
        <x:f>IFERROR(VLOOKUP(E272,'Plan kont'!$A$4:$B$35,2,FALSE),"")</x:f>
      </x:c>
      <x:c r="G272" s="40"/>
      <x:c r="H272" s="40"/>
      <x:c r="I272" s="32"/>
      <x:c r="J272" s="32"/>
      <x:c r="K272" s="23" t="str">
        <x:f>IF(B272="","",IF(ABS(SUMIF($B$4:$B$503,B272,$G$4:$G$503)-SUMIF($B$4:$B$503,B272,$H$4:$H$503))&lt;0.01,"OK","NIEZGODNY"))</x:f>
      </x:c>
    </x:row>
    <x:row r="273">
      <x:c r="A273" s="33"/>
      <x:c r="B273" s="32"/>
      <x:c r="C273" s="32"/>
      <x:c r="D273" s="32"/>
      <x:c r="E273" s="32"/>
      <x:c r="F273" s="23" t="str">
        <x:f>IFERROR(VLOOKUP(E273,'Plan kont'!$A$4:$B$35,2,FALSE),"")</x:f>
      </x:c>
      <x:c r="G273" s="40"/>
      <x:c r="H273" s="40"/>
      <x:c r="I273" s="32"/>
      <x:c r="J273" s="32"/>
      <x:c r="K273" s="23" t="str">
        <x:f>IF(B273="","",IF(ABS(SUMIF($B$4:$B$503,B273,$G$4:$G$503)-SUMIF($B$4:$B$503,B273,$H$4:$H$503))&lt;0.01,"OK","NIEZGODNY"))</x:f>
      </x:c>
    </x:row>
    <x:row r="274">
      <x:c r="A274" s="33"/>
      <x:c r="B274" s="32"/>
      <x:c r="C274" s="32"/>
      <x:c r="D274" s="32"/>
      <x:c r="E274" s="32"/>
      <x:c r="F274" s="23" t="str">
        <x:f>IFERROR(VLOOKUP(E274,'Plan kont'!$A$4:$B$35,2,FALSE),"")</x:f>
      </x:c>
      <x:c r="G274" s="40"/>
      <x:c r="H274" s="40"/>
      <x:c r="I274" s="32"/>
      <x:c r="J274" s="32"/>
      <x:c r="K274" s="23" t="str">
        <x:f>IF(B274="","",IF(ABS(SUMIF($B$4:$B$503,B274,$G$4:$G$503)-SUMIF($B$4:$B$503,B274,$H$4:$H$503))&lt;0.01,"OK","NIEZGODNY"))</x:f>
      </x:c>
    </x:row>
    <x:row r="275">
      <x:c r="A275" s="33"/>
      <x:c r="B275" s="32"/>
      <x:c r="C275" s="32"/>
      <x:c r="D275" s="32"/>
      <x:c r="E275" s="32"/>
      <x:c r="F275" s="23" t="str">
        <x:f>IFERROR(VLOOKUP(E275,'Plan kont'!$A$4:$B$35,2,FALSE),"")</x:f>
      </x:c>
      <x:c r="G275" s="40"/>
      <x:c r="H275" s="40"/>
      <x:c r="I275" s="32"/>
      <x:c r="J275" s="32"/>
      <x:c r="K275" s="23" t="str">
        <x:f>IF(B275="","",IF(ABS(SUMIF($B$4:$B$503,B275,$G$4:$G$503)-SUMIF($B$4:$B$503,B275,$H$4:$H$503))&lt;0.01,"OK","NIEZGODNY"))</x:f>
      </x:c>
    </x:row>
    <x:row r="276">
      <x:c r="A276" s="33"/>
      <x:c r="B276" s="32"/>
      <x:c r="C276" s="32"/>
      <x:c r="D276" s="32"/>
      <x:c r="E276" s="32"/>
      <x:c r="F276" s="23" t="str">
        <x:f>IFERROR(VLOOKUP(E276,'Plan kont'!$A$4:$B$35,2,FALSE),"")</x:f>
      </x:c>
      <x:c r="G276" s="40"/>
      <x:c r="H276" s="40"/>
      <x:c r="I276" s="32"/>
      <x:c r="J276" s="32"/>
      <x:c r="K276" s="23" t="str">
        <x:f>IF(B276="","",IF(ABS(SUMIF($B$4:$B$503,B276,$G$4:$G$503)-SUMIF($B$4:$B$503,B276,$H$4:$H$503))&lt;0.01,"OK","NIEZGODNY"))</x:f>
      </x:c>
    </x:row>
    <x:row r="277">
      <x:c r="A277" s="33"/>
      <x:c r="B277" s="32"/>
      <x:c r="C277" s="32"/>
      <x:c r="D277" s="32"/>
      <x:c r="E277" s="32"/>
      <x:c r="F277" s="23" t="str">
        <x:f>IFERROR(VLOOKUP(E277,'Plan kont'!$A$4:$B$35,2,FALSE),"")</x:f>
      </x:c>
      <x:c r="G277" s="40"/>
      <x:c r="H277" s="40"/>
      <x:c r="I277" s="32"/>
      <x:c r="J277" s="32"/>
      <x:c r="K277" s="23" t="str">
        <x:f>IF(B277="","",IF(ABS(SUMIF($B$4:$B$503,B277,$G$4:$G$503)-SUMIF($B$4:$B$503,B277,$H$4:$H$503))&lt;0.01,"OK","NIEZGODNY"))</x:f>
      </x:c>
    </x:row>
    <x:row r="278">
      <x:c r="A278" s="33"/>
      <x:c r="B278" s="32"/>
      <x:c r="C278" s="32"/>
      <x:c r="D278" s="32"/>
      <x:c r="E278" s="32"/>
      <x:c r="F278" s="23" t="str">
        <x:f>IFERROR(VLOOKUP(E278,'Plan kont'!$A$4:$B$35,2,FALSE),"")</x:f>
      </x:c>
      <x:c r="G278" s="40"/>
      <x:c r="H278" s="40"/>
      <x:c r="I278" s="32"/>
      <x:c r="J278" s="32"/>
      <x:c r="K278" s="23" t="str">
        <x:f>IF(B278="","",IF(ABS(SUMIF($B$4:$B$503,B278,$G$4:$G$503)-SUMIF($B$4:$B$503,B278,$H$4:$H$503))&lt;0.01,"OK","NIEZGODNY"))</x:f>
      </x:c>
    </x:row>
    <x:row r="279">
      <x:c r="A279" s="33"/>
      <x:c r="B279" s="32"/>
      <x:c r="C279" s="32"/>
      <x:c r="D279" s="32"/>
      <x:c r="E279" s="32"/>
      <x:c r="F279" s="23" t="str">
        <x:f>IFERROR(VLOOKUP(E279,'Plan kont'!$A$4:$B$35,2,FALSE),"")</x:f>
      </x:c>
      <x:c r="G279" s="40"/>
      <x:c r="H279" s="40"/>
      <x:c r="I279" s="32"/>
      <x:c r="J279" s="32"/>
      <x:c r="K279" s="23" t="str">
        <x:f>IF(B279="","",IF(ABS(SUMIF($B$4:$B$503,B279,$G$4:$G$503)-SUMIF($B$4:$B$503,B279,$H$4:$H$503))&lt;0.01,"OK","NIEZGODNY"))</x:f>
      </x:c>
    </x:row>
    <x:row r="280">
      <x:c r="A280" s="33"/>
      <x:c r="B280" s="32"/>
      <x:c r="C280" s="32"/>
      <x:c r="D280" s="32"/>
      <x:c r="E280" s="32"/>
      <x:c r="F280" s="23" t="str">
        <x:f>IFERROR(VLOOKUP(E280,'Plan kont'!$A$4:$B$35,2,FALSE),"")</x:f>
      </x:c>
      <x:c r="G280" s="40"/>
      <x:c r="H280" s="40"/>
      <x:c r="I280" s="32"/>
      <x:c r="J280" s="32"/>
      <x:c r="K280" s="23" t="str">
        <x:f>IF(B280="","",IF(ABS(SUMIF($B$4:$B$503,B280,$G$4:$G$503)-SUMIF($B$4:$B$503,B280,$H$4:$H$503))&lt;0.01,"OK","NIEZGODNY"))</x:f>
      </x:c>
    </x:row>
    <x:row r="281">
      <x:c r="A281" s="33"/>
      <x:c r="B281" s="32"/>
      <x:c r="C281" s="32"/>
      <x:c r="D281" s="32"/>
      <x:c r="E281" s="32"/>
      <x:c r="F281" s="23" t="str">
        <x:f>IFERROR(VLOOKUP(E281,'Plan kont'!$A$4:$B$35,2,FALSE),"")</x:f>
      </x:c>
      <x:c r="G281" s="40"/>
      <x:c r="H281" s="40"/>
      <x:c r="I281" s="32"/>
      <x:c r="J281" s="32"/>
      <x:c r="K281" s="23" t="str">
        <x:f>IF(B281="","",IF(ABS(SUMIF($B$4:$B$503,B281,$G$4:$G$503)-SUMIF($B$4:$B$503,B281,$H$4:$H$503))&lt;0.01,"OK","NIEZGODNY"))</x:f>
      </x:c>
    </x:row>
    <x:row r="282">
      <x:c r="A282" s="33"/>
      <x:c r="B282" s="32"/>
      <x:c r="C282" s="32"/>
      <x:c r="D282" s="32"/>
      <x:c r="E282" s="32"/>
      <x:c r="F282" s="23" t="str">
        <x:f>IFERROR(VLOOKUP(E282,'Plan kont'!$A$4:$B$35,2,FALSE),"")</x:f>
      </x:c>
      <x:c r="G282" s="40"/>
      <x:c r="H282" s="40"/>
      <x:c r="I282" s="32"/>
      <x:c r="J282" s="32"/>
      <x:c r="K282" s="23" t="str">
        <x:f>IF(B282="","",IF(ABS(SUMIF($B$4:$B$503,B282,$G$4:$G$503)-SUMIF($B$4:$B$503,B282,$H$4:$H$503))&lt;0.01,"OK","NIEZGODNY"))</x:f>
      </x:c>
    </x:row>
    <x:row r="283">
      <x:c r="A283" s="33"/>
      <x:c r="B283" s="32"/>
      <x:c r="C283" s="32"/>
      <x:c r="D283" s="32"/>
      <x:c r="E283" s="32"/>
      <x:c r="F283" s="23" t="str">
        <x:f>IFERROR(VLOOKUP(E283,'Plan kont'!$A$4:$B$35,2,FALSE),"")</x:f>
      </x:c>
      <x:c r="G283" s="40"/>
      <x:c r="H283" s="40"/>
      <x:c r="I283" s="32"/>
      <x:c r="J283" s="32"/>
      <x:c r="K283" s="23" t="str">
        <x:f>IF(B283="","",IF(ABS(SUMIF($B$4:$B$503,B283,$G$4:$G$503)-SUMIF($B$4:$B$503,B283,$H$4:$H$503))&lt;0.01,"OK","NIEZGODNY"))</x:f>
      </x:c>
    </x:row>
    <x:row r="284">
      <x:c r="A284" s="33"/>
      <x:c r="B284" s="32"/>
      <x:c r="C284" s="32"/>
      <x:c r="D284" s="32"/>
      <x:c r="E284" s="32"/>
      <x:c r="F284" s="23" t="str">
        <x:f>IFERROR(VLOOKUP(E284,'Plan kont'!$A$4:$B$35,2,FALSE),"")</x:f>
      </x:c>
      <x:c r="G284" s="40"/>
      <x:c r="H284" s="40"/>
      <x:c r="I284" s="32"/>
      <x:c r="J284" s="32"/>
      <x:c r="K284" s="23" t="str">
        <x:f>IF(B284="","",IF(ABS(SUMIF($B$4:$B$503,B284,$G$4:$G$503)-SUMIF($B$4:$B$503,B284,$H$4:$H$503))&lt;0.01,"OK","NIEZGODNY"))</x:f>
      </x:c>
    </x:row>
    <x:row r="285">
      <x:c r="A285" s="33"/>
      <x:c r="B285" s="32"/>
      <x:c r="C285" s="32"/>
      <x:c r="D285" s="32"/>
      <x:c r="E285" s="32"/>
      <x:c r="F285" s="23" t="str">
        <x:f>IFERROR(VLOOKUP(E285,'Plan kont'!$A$4:$B$35,2,FALSE),"")</x:f>
      </x:c>
      <x:c r="G285" s="40"/>
      <x:c r="H285" s="40"/>
      <x:c r="I285" s="32"/>
      <x:c r="J285" s="32"/>
      <x:c r="K285" s="23" t="str">
        <x:f>IF(B285="","",IF(ABS(SUMIF($B$4:$B$503,B285,$G$4:$G$503)-SUMIF($B$4:$B$503,B285,$H$4:$H$503))&lt;0.01,"OK","NIEZGODNY"))</x:f>
      </x:c>
    </x:row>
    <x:row r="286">
      <x:c r="A286" s="33"/>
      <x:c r="B286" s="32"/>
      <x:c r="C286" s="32"/>
      <x:c r="D286" s="32"/>
      <x:c r="E286" s="32"/>
      <x:c r="F286" s="23" t="str">
        <x:f>IFERROR(VLOOKUP(E286,'Plan kont'!$A$4:$B$35,2,FALSE),"")</x:f>
      </x:c>
      <x:c r="G286" s="40"/>
      <x:c r="H286" s="40"/>
      <x:c r="I286" s="32"/>
      <x:c r="J286" s="32"/>
      <x:c r="K286" s="23" t="str">
        <x:f>IF(B286="","",IF(ABS(SUMIF($B$4:$B$503,B286,$G$4:$G$503)-SUMIF($B$4:$B$503,B286,$H$4:$H$503))&lt;0.01,"OK","NIEZGODNY"))</x:f>
      </x:c>
    </x:row>
    <x:row r="287">
      <x:c r="A287" s="33"/>
      <x:c r="B287" s="32"/>
      <x:c r="C287" s="32"/>
      <x:c r="D287" s="32"/>
      <x:c r="E287" s="32"/>
      <x:c r="F287" s="23" t="str">
        <x:f>IFERROR(VLOOKUP(E287,'Plan kont'!$A$4:$B$35,2,FALSE),"")</x:f>
      </x:c>
      <x:c r="G287" s="40"/>
      <x:c r="H287" s="40"/>
      <x:c r="I287" s="32"/>
      <x:c r="J287" s="32"/>
      <x:c r="K287" s="23" t="str">
        <x:f>IF(B287="","",IF(ABS(SUMIF($B$4:$B$503,B287,$G$4:$G$503)-SUMIF($B$4:$B$503,B287,$H$4:$H$503))&lt;0.01,"OK","NIEZGODNY"))</x:f>
      </x:c>
    </x:row>
    <x:row r="288">
      <x:c r="A288" s="33"/>
      <x:c r="B288" s="32"/>
      <x:c r="C288" s="32"/>
      <x:c r="D288" s="32"/>
      <x:c r="E288" s="32"/>
      <x:c r="F288" s="23" t="str">
        <x:f>IFERROR(VLOOKUP(E288,'Plan kont'!$A$4:$B$35,2,FALSE),"")</x:f>
      </x:c>
      <x:c r="G288" s="40"/>
      <x:c r="H288" s="40"/>
      <x:c r="I288" s="32"/>
      <x:c r="J288" s="32"/>
      <x:c r="K288" s="23" t="str">
        <x:f>IF(B288="","",IF(ABS(SUMIF($B$4:$B$503,B288,$G$4:$G$503)-SUMIF($B$4:$B$503,B288,$H$4:$H$503))&lt;0.01,"OK","NIEZGODNY"))</x:f>
      </x:c>
    </x:row>
    <x:row r="289">
      <x:c r="A289" s="33"/>
      <x:c r="B289" s="32"/>
      <x:c r="C289" s="32"/>
      <x:c r="D289" s="32"/>
      <x:c r="E289" s="32"/>
      <x:c r="F289" s="23" t="str">
        <x:f>IFERROR(VLOOKUP(E289,'Plan kont'!$A$4:$B$35,2,FALSE),"")</x:f>
      </x:c>
      <x:c r="G289" s="40"/>
      <x:c r="H289" s="40"/>
      <x:c r="I289" s="32"/>
      <x:c r="J289" s="32"/>
      <x:c r="K289" s="23" t="str">
        <x:f>IF(B289="","",IF(ABS(SUMIF($B$4:$B$503,B289,$G$4:$G$503)-SUMIF($B$4:$B$503,B289,$H$4:$H$503))&lt;0.01,"OK","NIEZGODNY"))</x:f>
      </x:c>
    </x:row>
    <x:row r="290">
      <x:c r="A290" s="33"/>
      <x:c r="B290" s="32"/>
      <x:c r="C290" s="32"/>
      <x:c r="D290" s="32"/>
      <x:c r="E290" s="32"/>
      <x:c r="F290" s="23" t="str">
        <x:f>IFERROR(VLOOKUP(E290,'Plan kont'!$A$4:$B$35,2,FALSE),"")</x:f>
      </x:c>
      <x:c r="G290" s="40"/>
      <x:c r="H290" s="40"/>
      <x:c r="I290" s="32"/>
      <x:c r="J290" s="32"/>
      <x:c r="K290" s="23" t="str">
        <x:f>IF(B290="","",IF(ABS(SUMIF($B$4:$B$503,B290,$G$4:$G$503)-SUMIF($B$4:$B$503,B290,$H$4:$H$503))&lt;0.01,"OK","NIEZGODNY"))</x:f>
      </x:c>
    </x:row>
    <x:row r="291">
      <x:c r="A291" s="33"/>
      <x:c r="B291" s="32"/>
      <x:c r="C291" s="32"/>
      <x:c r="D291" s="32"/>
      <x:c r="E291" s="32"/>
      <x:c r="F291" s="23" t="str">
        <x:f>IFERROR(VLOOKUP(E291,'Plan kont'!$A$4:$B$35,2,FALSE),"")</x:f>
      </x:c>
      <x:c r="G291" s="40"/>
      <x:c r="H291" s="40"/>
      <x:c r="I291" s="32"/>
      <x:c r="J291" s="32"/>
      <x:c r="K291" s="23" t="str">
        <x:f>IF(B291="","",IF(ABS(SUMIF($B$4:$B$503,B291,$G$4:$G$503)-SUMIF($B$4:$B$503,B291,$H$4:$H$503))&lt;0.01,"OK","NIEZGODNY"))</x:f>
      </x:c>
    </x:row>
    <x:row r="292">
      <x:c r="A292" s="33"/>
      <x:c r="B292" s="32"/>
      <x:c r="C292" s="32"/>
      <x:c r="D292" s="32"/>
      <x:c r="E292" s="32"/>
      <x:c r="F292" s="23" t="str">
        <x:f>IFERROR(VLOOKUP(E292,'Plan kont'!$A$4:$B$35,2,FALSE),"")</x:f>
      </x:c>
      <x:c r="G292" s="40"/>
      <x:c r="H292" s="40"/>
      <x:c r="I292" s="32"/>
      <x:c r="J292" s="32"/>
      <x:c r="K292" s="23" t="str">
        <x:f>IF(B292="","",IF(ABS(SUMIF($B$4:$B$503,B292,$G$4:$G$503)-SUMIF($B$4:$B$503,B292,$H$4:$H$503))&lt;0.01,"OK","NIEZGODNY"))</x:f>
      </x:c>
    </x:row>
    <x:row r="293">
      <x:c r="A293" s="33"/>
      <x:c r="B293" s="32"/>
      <x:c r="C293" s="32"/>
      <x:c r="D293" s="32"/>
      <x:c r="E293" s="32"/>
      <x:c r="F293" s="23" t="str">
        <x:f>IFERROR(VLOOKUP(E293,'Plan kont'!$A$4:$B$35,2,FALSE),"")</x:f>
      </x:c>
      <x:c r="G293" s="40"/>
      <x:c r="H293" s="40"/>
      <x:c r="I293" s="32"/>
      <x:c r="J293" s="32"/>
      <x:c r="K293" s="23" t="str">
        <x:f>IF(B293="","",IF(ABS(SUMIF($B$4:$B$503,B293,$G$4:$G$503)-SUMIF($B$4:$B$503,B293,$H$4:$H$503))&lt;0.01,"OK","NIEZGODNY"))</x:f>
      </x:c>
    </x:row>
    <x:row r="294">
      <x:c r="A294" s="33"/>
      <x:c r="B294" s="32"/>
      <x:c r="C294" s="32"/>
      <x:c r="D294" s="32"/>
      <x:c r="E294" s="32"/>
      <x:c r="F294" s="23" t="str">
        <x:f>IFERROR(VLOOKUP(E294,'Plan kont'!$A$4:$B$35,2,FALSE),"")</x:f>
      </x:c>
      <x:c r="G294" s="40"/>
      <x:c r="H294" s="40"/>
      <x:c r="I294" s="32"/>
      <x:c r="J294" s="32"/>
      <x:c r="K294" s="23" t="str">
        <x:f>IF(B294="","",IF(ABS(SUMIF($B$4:$B$503,B294,$G$4:$G$503)-SUMIF($B$4:$B$503,B294,$H$4:$H$503))&lt;0.01,"OK","NIEZGODNY"))</x:f>
      </x:c>
    </x:row>
    <x:row r="295">
      <x:c r="A295" s="33"/>
      <x:c r="B295" s="32"/>
      <x:c r="C295" s="32"/>
      <x:c r="D295" s="32"/>
      <x:c r="E295" s="32"/>
      <x:c r="F295" s="23" t="str">
        <x:f>IFERROR(VLOOKUP(E295,'Plan kont'!$A$4:$B$35,2,FALSE),"")</x:f>
      </x:c>
      <x:c r="G295" s="40"/>
      <x:c r="H295" s="40"/>
      <x:c r="I295" s="32"/>
      <x:c r="J295" s="32"/>
      <x:c r="K295" s="23" t="str">
        <x:f>IF(B295="","",IF(ABS(SUMIF($B$4:$B$503,B295,$G$4:$G$503)-SUMIF($B$4:$B$503,B295,$H$4:$H$503))&lt;0.01,"OK","NIEZGODNY"))</x:f>
      </x:c>
    </x:row>
    <x:row r="296">
      <x:c r="A296" s="33"/>
      <x:c r="B296" s="32"/>
      <x:c r="C296" s="32"/>
      <x:c r="D296" s="32"/>
      <x:c r="E296" s="32"/>
      <x:c r="F296" s="23" t="str">
        <x:f>IFERROR(VLOOKUP(E296,'Plan kont'!$A$4:$B$35,2,FALSE),"")</x:f>
      </x:c>
      <x:c r="G296" s="40"/>
      <x:c r="H296" s="40"/>
      <x:c r="I296" s="32"/>
      <x:c r="J296" s="32"/>
      <x:c r="K296" s="23" t="str">
        <x:f>IF(B296="","",IF(ABS(SUMIF($B$4:$B$503,B296,$G$4:$G$503)-SUMIF($B$4:$B$503,B296,$H$4:$H$503))&lt;0.01,"OK","NIEZGODNY"))</x:f>
      </x:c>
    </x:row>
    <x:row r="297">
      <x:c r="A297" s="33"/>
      <x:c r="B297" s="32"/>
      <x:c r="C297" s="32"/>
      <x:c r="D297" s="32"/>
      <x:c r="E297" s="32"/>
      <x:c r="F297" s="23" t="str">
        <x:f>IFERROR(VLOOKUP(E297,'Plan kont'!$A$4:$B$35,2,FALSE),"")</x:f>
      </x:c>
      <x:c r="G297" s="40"/>
      <x:c r="H297" s="40"/>
      <x:c r="I297" s="32"/>
      <x:c r="J297" s="32"/>
      <x:c r="K297" s="23" t="str">
        <x:f>IF(B297="","",IF(ABS(SUMIF($B$4:$B$503,B297,$G$4:$G$503)-SUMIF($B$4:$B$503,B297,$H$4:$H$503))&lt;0.01,"OK","NIEZGODNY"))</x:f>
      </x:c>
    </x:row>
    <x:row r="298">
      <x:c r="A298" s="33"/>
      <x:c r="B298" s="32"/>
      <x:c r="C298" s="32"/>
      <x:c r="D298" s="32"/>
      <x:c r="E298" s="32"/>
      <x:c r="F298" s="23" t="str">
        <x:f>IFERROR(VLOOKUP(E298,'Plan kont'!$A$4:$B$35,2,FALSE),"")</x:f>
      </x:c>
      <x:c r="G298" s="40"/>
      <x:c r="H298" s="40"/>
      <x:c r="I298" s="32"/>
      <x:c r="J298" s="32"/>
      <x:c r="K298" s="23" t="str">
        <x:f>IF(B298="","",IF(ABS(SUMIF($B$4:$B$503,B298,$G$4:$G$503)-SUMIF($B$4:$B$503,B298,$H$4:$H$503))&lt;0.01,"OK","NIEZGODNY"))</x:f>
      </x:c>
    </x:row>
    <x:row r="299">
      <x:c r="A299" s="33"/>
      <x:c r="B299" s="32"/>
      <x:c r="C299" s="32"/>
      <x:c r="D299" s="32"/>
      <x:c r="E299" s="32"/>
      <x:c r="F299" s="23" t="str">
        <x:f>IFERROR(VLOOKUP(E299,'Plan kont'!$A$4:$B$35,2,FALSE),"")</x:f>
      </x:c>
      <x:c r="G299" s="40"/>
      <x:c r="H299" s="40"/>
      <x:c r="I299" s="32"/>
      <x:c r="J299" s="32"/>
      <x:c r="K299" s="23" t="str">
        <x:f>IF(B299="","",IF(ABS(SUMIF($B$4:$B$503,B299,$G$4:$G$503)-SUMIF($B$4:$B$503,B299,$H$4:$H$503))&lt;0.01,"OK","NIEZGODNY"))</x:f>
      </x:c>
    </x:row>
    <x:row r="300">
      <x:c r="A300" s="33"/>
      <x:c r="B300" s="32"/>
      <x:c r="C300" s="32"/>
      <x:c r="D300" s="32"/>
      <x:c r="E300" s="32"/>
      <x:c r="F300" s="23" t="str">
        <x:f>IFERROR(VLOOKUP(E300,'Plan kont'!$A$4:$B$35,2,FALSE),"")</x:f>
      </x:c>
      <x:c r="G300" s="40"/>
      <x:c r="H300" s="40"/>
      <x:c r="I300" s="32"/>
      <x:c r="J300" s="32"/>
      <x:c r="K300" s="23" t="str">
        <x:f>IF(B300="","",IF(ABS(SUMIF($B$4:$B$503,B300,$G$4:$G$503)-SUMIF($B$4:$B$503,B300,$H$4:$H$503))&lt;0.01,"OK","NIEZGODNY"))</x:f>
      </x:c>
    </x:row>
    <x:row r="301">
      <x:c r="A301" s="33"/>
      <x:c r="B301" s="32"/>
      <x:c r="C301" s="32"/>
      <x:c r="D301" s="32"/>
      <x:c r="E301" s="32"/>
      <x:c r="F301" s="23" t="str">
        <x:f>IFERROR(VLOOKUP(E301,'Plan kont'!$A$4:$B$35,2,FALSE),"")</x:f>
      </x:c>
      <x:c r="G301" s="40"/>
      <x:c r="H301" s="40"/>
      <x:c r="I301" s="32"/>
      <x:c r="J301" s="32"/>
      <x:c r="K301" s="23" t="str">
        <x:f>IF(B301="","",IF(ABS(SUMIF($B$4:$B$503,B301,$G$4:$G$503)-SUMIF($B$4:$B$503,B301,$H$4:$H$503))&lt;0.01,"OK","NIEZGODNY"))</x:f>
      </x:c>
    </x:row>
    <x:row r="302">
      <x:c r="A302" s="33"/>
      <x:c r="B302" s="32"/>
      <x:c r="C302" s="32"/>
      <x:c r="D302" s="32"/>
      <x:c r="E302" s="32"/>
      <x:c r="F302" s="23" t="str">
        <x:f>IFERROR(VLOOKUP(E302,'Plan kont'!$A$4:$B$35,2,FALSE),"")</x:f>
      </x:c>
      <x:c r="G302" s="40"/>
      <x:c r="H302" s="40"/>
      <x:c r="I302" s="32"/>
      <x:c r="J302" s="32"/>
      <x:c r="K302" s="23" t="str">
        <x:f>IF(B302="","",IF(ABS(SUMIF($B$4:$B$503,B302,$G$4:$G$503)-SUMIF($B$4:$B$503,B302,$H$4:$H$503))&lt;0.01,"OK","NIEZGODNY"))</x:f>
      </x:c>
    </x:row>
    <x:row r="303">
      <x:c r="A303" s="33"/>
      <x:c r="B303" s="32"/>
      <x:c r="C303" s="32"/>
      <x:c r="D303" s="32"/>
      <x:c r="E303" s="32"/>
      <x:c r="F303" s="23" t="str">
        <x:f>IFERROR(VLOOKUP(E303,'Plan kont'!$A$4:$B$35,2,FALSE),"")</x:f>
      </x:c>
      <x:c r="G303" s="40"/>
      <x:c r="H303" s="40"/>
      <x:c r="I303" s="32"/>
      <x:c r="J303" s="32"/>
      <x:c r="K303" s="23" t="str">
        <x:f>IF(B303="","",IF(ABS(SUMIF($B$4:$B$503,B303,$G$4:$G$503)-SUMIF($B$4:$B$503,B303,$H$4:$H$503))&lt;0.01,"OK","NIEZGODNY"))</x:f>
      </x:c>
    </x:row>
    <x:row r="304">
      <x:c r="A304" s="33"/>
      <x:c r="B304" s="32"/>
      <x:c r="C304" s="32"/>
      <x:c r="D304" s="32"/>
      <x:c r="E304" s="32"/>
      <x:c r="F304" s="23" t="str">
        <x:f>IFERROR(VLOOKUP(E304,'Plan kont'!$A$4:$B$35,2,FALSE),"")</x:f>
      </x:c>
      <x:c r="G304" s="40"/>
      <x:c r="H304" s="40"/>
      <x:c r="I304" s="32"/>
      <x:c r="J304" s="32"/>
      <x:c r="K304" s="23" t="str">
        <x:f>IF(B304="","",IF(ABS(SUMIF($B$4:$B$503,B304,$G$4:$G$503)-SUMIF($B$4:$B$503,B304,$H$4:$H$503))&lt;0.01,"OK","NIEZGODNY"))</x:f>
      </x:c>
    </x:row>
    <x:row r="305">
      <x:c r="A305" s="33"/>
      <x:c r="B305" s="32"/>
      <x:c r="C305" s="32"/>
      <x:c r="D305" s="32"/>
      <x:c r="E305" s="32"/>
      <x:c r="F305" s="23" t="str">
        <x:f>IFERROR(VLOOKUP(E305,'Plan kont'!$A$4:$B$35,2,FALSE),"")</x:f>
      </x:c>
      <x:c r="G305" s="40"/>
      <x:c r="H305" s="40"/>
      <x:c r="I305" s="32"/>
      <x:c r="J305" s="32"/>
      <x:c r="K305" s="23" t="str">
        <x:f>IF(B305="","",IF(ABS(SUMIF($B$4:$B$503,B305,$G$4:$G$503)-SUMIF($B$4:$B$503,B305,$H$4:$H$503))&lt;0.01,"OK","NIEZGODNY"))</x:f>
      </x:c>
    </x:row>
    <x:row r="306">
      <x:c r="A306" s="33"/>
      <x:c r="B306" s="32"/>
      <x:c r="C306" s="32"/>
      <x:c r="D306" s="32"/>
      <x:c r="E306" s="32"/>
      <x:c r="F306" s="23" t="str">
        <x:f>IFERROR(VLOOKUP(E306,'Plan kont'!$A$4:$B$35,2,FALSE),"")</x:f>
      </x:c>
      <x:c r="G306" s="40"/>
      <x:c r="H306" s="40"/>
      <x:c r="I306" s="32"/>
      <x:c r="J306" s="32"/>
      <x:c r="K306" s="23" t="str">
        <x:f>IF(B306="","",IF(ABS(SUMIF($B$4:$B$503,B306,$G$4:$G$503)-SUMIF($B$4:$B$503,B306,$H$4:$H$503))&lt;0.01,"OK","NIEZGODNY"))</x:f>
      </x:c>
    </x:row>
    <x:row r="307">
      <x:c r="A307" s="33"/>
      <x:c r="B307" s="32"/>
      <x:c r="C307" s="32"/>
      <x:c r="D307" s="32"/>
      <x:c r="E307" s="32"/>
      <x:c r="F307" s="23" t="str">
        <x:f>IFERROR(VLOOKUP(E307,'Plan kont'!$A$4:$B$35,2,FALSE),"")</x:f>
      </x:c>
      <x:c r="G307" s="40"/>
      <x:c r="H307" s="40"/>
      <x:c r="I307" s="32"/>
      <x:c r="J307" s="32"/>
      <x:c r="K307" s="23" t="str">
        <x:f>IF(B307="","",IF(ABS(SUMIF($B$4:$B$503,B307,$G$4:$G$503)-SUMIF($B$4:$B$503,B307,$H$4:$H$503))&lt;0.01,"OK","NIEZGODNY"))</x:f>
      </x:c>
    </x:row>
    <x:row r="308">
      <x:c r="A308" s="33"/>
      <x:c r="B308" s="32"/>
      <x:c r="C308" s="32"/>
      <x:c r="D308" s="32"/>
      <x:c r="E308" s="32"/>
      <x:c r="F308" s="23" t="str">
        <x:f>IFERROR(VLOOKUP(E308,'Plan kont'!$A$4:$B$35,2,FALSE),"")</x:f>
      </x:c>
      <x:c r="G308" s="40"/>
      <x:c r="H308" s="40"/>
      <x:c r="I308" s="32"/>
      <x:c r="J308" s="32"/>
      <x:c r="K308" s="23" t="str">
        <x:f>IF(B308="","",IF(ABS(SUMIF($B$4:$B$503,B308,$G$4:$G$503)-SUMIF($B$4:$B$503,B308,$H$4:$H$503))&lt;0.01,"OK","NIEZGODNY"))</x:f>
      </x:c>
    </x:row>
    <x:row r="309">
      <x:c r="A309" s="33"/>
      <x:c r="B309" s="32"/>
      <x:c r="C309" s="32"/>
      <x:c r="D309" s="32"/>
      <x:c r="E309" s="32"/>
      <x:c r="F309" s="23" t="str">
        <x:f>IFERROR(VLOOKUP(E309,'Plan kont'!$A$4:$B$35,2,FALSE),"")</x:f>
      </x:c>
      <x:c r="G309" s="40"/>
      <x:c r="H309" s="40"/>
      <x:c r="I309" s="32"/>
      <x:c r="J309" s="32"/>
      <x:c r="K309" s="23" t="str">
        <x:f>IF(B309="","",IF(ABS(SUMIF($B$4:$B$503,B309,$G$4:$G$503)-SUMIF($B$4:$B$503,B309,$H$4:$H$503))&lt;0.01,"OK","NIEZGODNY"))</x:f>
      </x:c>
    </x:row>
    <x:row r="310">
      <x:c r="A310" s="33"/>
      <x:c r="B310" s="32"/>
      <x:c r="C310" s="32"/>
      <x:c r="D310" s="32"/>
      <x:c r="E310" s="32"/>
      <x:c r="F310" s="23" t="str">
        <x:f>IFERROR(VLOOKUP(E310,'Plan kont'!$A$4:$B$35,2,FALSE),"")</x:f>
      </x:c>
      <x:c r="G310" s="40"/>
      <x:c r="H310" s="40"/>
      <x:c r="I310" s="32"/>
      <x:c r="J310" s="32"/>
      <x:c r="K310" s="23" t="str">
        <x:f>IF(B310="","",IF(ABS(SUMIF($B$4:$B$503,B310,$G$4:$G$503)-SUMIF($B$4:$B$503,B310,$H$4:$H$503))&lt;0.01,"OK","NIEZGODNY"))</x:f>
      </x:c>
    </x:row>
    <x:row r="311">
      <x:c r="A311" s="33"/>
      <x:c r="B311" s="32"/>
      <x:c r="C311" s="32"/>
      <x:c r="D311" s="32"/>
      <x:c r="E311" s="32"/>
      <x:c r="F311" s="23" t="str">
        <x:f>IFERROR(VLOOKUP(E311,'Plan kont'!$A$4:$B$35,2,FALSE),"")</x:f>
      </x:c>
      <x:c r="G311" s="40"/>
      <x:c r="H311" s="40"/>
      <x:c r="I311" s="32"/>
      <x:c r="J311" s="32"/>
      <x:c r="K311" s="23" t="str">
        <x:f>IF(B311="","",IF(ABS(SUMIF($B$4:$B$503,B311,$G$4:$G$503)-SUMIF($B$4:$B$503,B311,$H$4:$H$503))&lt;0.01,"OK","NIEZGODNY"))</x:f>
      </x:c>
    </x:row>
    <x:row r="312">
      <x:c r="A312" s="33"/>
      <x:c r="B312" s="32"/>
      <x:c r="C312" s="32"/>
      <x:c r="D312" s="32"/>
      <x:c r="E312" s="32"/>
      <x:c r="F312" s="23" t="str">
        <x:f>IFERROR(VLOOKUP(E312,'Plan kont'!$A$4:$B$35,2,FALSE),"")</x:f>
      </x:c>
      <x:c r="G312" s="40"/>
      <x:c r="H312" s="40"/>
      <x:c r="I312" s="32"/>
      <x:c r="J312" s="32"/>
      <x:c r="K312" s="23" t="str">
        <x:f>IF(B312="","",IF(ABS(SUMIF($B$4:$B$503,B312,$G$4:$G$503)-SUMIF($B$4:$B$503,B312,$H$4:$H$503))&lt;0.01,"OK","NIEZGODNY"))</x:f>
      </x:c>
    </x:row>
    <x:row r="313">
      <x:c r="A313" s="33"/>
      <x:c r="B313" s="32"/>
      <x:c r="C313" s="32"/>
      <x:c r="D313" s="32"/>
      <x:c r="E313" s="32"/>
      <x:c r="F313" s="23" t="str">
        <x:f>IFERROR(VLOOKUP(E313,'Plan kont'!$A$4:$B$35,2,FALSE),"")</x:f>
      </x:c>
      <x:c r="G313" s="40"/>
      <x:c r="H313" s="40"/>
      <x:c r="I313" s="32"/>
      <x:c r="J313" s="32"/>
      <x:c r="K313" s="23" t="str">
        <x:f>IF(B313="","",IF(ABS(SUMIF($B$4:$B$503,B313,$G$4:$G$503)-SUMIF($B$4:$B$503,B313,$H$4:$H$503))&lt;0.01,"OK","NIEZGODNY"))</x:f>
      </x:c>
    </x:row>
    <x:row r="314">
      <x:c r="A314" s="33"/>
      <x:c r="B314" s="32"/>
      <x:c r="C314" s="32"/>
      <x:c r="D314" s="32"/>
      <x:c r="E314" s="32"/>
      <x:c r="F314" s="23" t="str">
        <x:f>IFERROR(VLOOKUP(E314,'Plan kont'!$A$4:$B$35,2,FALSE),"")</x:f>
      </x:c>
      <x:c r="G314" s="40"/>
      <x:c r="H314" s="40"/>
      <x:c r="I314" s="32"/>
      <x:c r="J314" s="32"/>
      <x:c r="K314" s="23" t="str">
        <x:f>IF(B314="","",IF(ABS(SUMIF($B$4:$B$503,B314,$G$4:$G$503)-SUMIF($B$4:$B$503,B314,$H$4:$H$503))&lt;0.01,"OK","NIEZGODNY"))</x:f>
      </x:c>
    </x:row>
    <x:row r="315">
      <x:c r="A315" s="33"/>
      <x:c r="B315" s="32"/>
      <x:c r="C315" s="32"/>
      <x:c r="D315" s="32"/>
      <x:c r="E315" s="32"/>
      <x:c r="F315" s="23" t="str">
        <x:f>IFERROR(VLOOKUP(E315,'Plan kont'!$A$4:$B$35,2,FALSE),"")</x:f>
      </x:c>
      <x:c r="G315" s="40"/>
      <x:c r="H315" s="40"/>
      <x:c r="I315" s="32"/>
      <x:c r="J315" s="32"/>
      <x:c r="K315" s="23" t="str">
        <x:f>IF(B315="","",IF(ABS(SUMIF($B$4:$B$503,B315,$G$4:$G$503)-SUMIF($B$4:$B$503,B315,$H$4:$H$503))&lt;0.01,"OK","NIEZGODNY"))</x:f>
      </x:c>
    </x:row>
    <x:row r="316">
      <x:c r="A316" s="33"/>
      <x:c r="B316" s="32"/>
      <x:c r="C316" s="32"/>
      <x:c r="D316" s="32"/>
      <x:c r="E316" s="32"/>
      <x:c r="F316" s="23" t="str">
        <x:f>IFERROR(VLOOKUP(E316,'Plan kont'!$A$4:$B$35,2,FALSE),"")</x:f>
      </x:c>
      <x:c r="G316" s="40"/>
      <x:c r="H316" s="40"/>
      <x:c r="I316" s="32"/>
      <x:c r="J316" s="32"/>
      <x:c r="K316" s="23" t="str">
        <x:f>IF(B316="","",IF(ABS(SUMIF($B$4:$B$503,B316,$G$4:$G$503)-SUMIF($B$4:$B$503,B316,$H$4:$H$503))&lt;0.01,"OK","NIEZGODNY"))</x:f>
      </x:c>
    </x:row>
    <x:row r="317">
      <x:c r="A317" s="33"/>
      <x:c r="B317" s="32"/>
      <x:c r="C317" s="32"/>
      <x:c r="D317" s="32"/>
      <x:c r="E317" s="32"/>
      <x:c r="F317" s="23" t="str">
        <x:f>IFERROR(VLOOKUP(E317,'Plan kont'!$A$4:$B$35,2,FALSE),"")</x:f>
      </x:c>
      <x:c r="G317" s="40"/>
      <x:c r="H317" s="40"/>
      <x:c r="I317" s="32"/>
      <x:c r="J317" s="32"/>
      <x:c r="K317" s="23" t="str">
        <x:f>IF(B317="","",IF(ABS(SUMIF($B$4:$B$503,B317,$G$4:$G$503)-SUMIF($B$4:$B$503,B317,$H$4:$H$503))&lt;0.01,"OK","NIEZGODNY"))</x:f>
      </x:c>
    </x:row>
    <x:row r="318">
      <x:c r="A318" s="33"/>
      <x:c r="B318" s="32"/>
      <x:c r="C318" s="32"/>
      <x:c r="D318" s="32"/>
      <x:c r="E318" s="32"/>
      <x:c r="F318" s="23" t="str">
        <x:f>IFERROR(VLOOKUP(E318,'Plan kont'!$A$4:$B$35,2,FALSE),"")</x:f>
      </x:c>
      <x:c r="G318" s="40"/>
      <x:c r="H318" s="40"/>
      <x:c r="I318" s="32"/>
      <x:c r="J318" s="32"/>
      <x:c r="K318" s="23" t="str">
        <x:f>IF(B318="","",IF(ABS(SUMIF($B$4:$B$503,B318,$G$4:$G$503)-SUMIF($B$4:$B$503,B318,$H$4:$H$503))&lt;0.01,"OK","NIEZGODNY"))</x:f>
      </x:c>
    </x:row>
    <x:row r="319">
      <x:c r="A319" s="33"/>
      <x:c r="B319" s="32"/>
      <x:c r="C319" s="32"/>
      <x:c r="D319" s="32"/>
      <x:c r="E319" s="32"/>
      <x:c r="F319" s="23" t="str">
        <x:f>IFERROR(VLOOKUP(E319,'Plan kont'!$A$4:$B$35,2,FALSE),"")</x:f>
      </x:c>
      <x:c r="G319" s="40"/>
      <x:c r="H319" s="40"/>
      <x:c r="I319" s="32"/>
      <x:c r="J319" s="32"/>
      <x:c r="K319" s="23" t="str">
        <x:f>IF(B319="","",IF(ABS(SUMIF($B$4:$B$503,B319,$G$4:$G$503)-SUMIF($B$4:$B$503,B319,$H$4:$H$503))&lt;0.01,"OK","NIEZGODNY"))</x:f>
      </x:c>
    </x:row>
    <x:row r="320">
      <x:c r="A320" s="33"/>
      <x:c r="B320" s="32"/>
      <x:c r="C320" s="32"/>
      <x:c r="D320" s="32"/>
      <x:c r="E320" s="32"/>
      <x:c r="F320" s="23" t="str">
        <x:f>IFERROR(VLOOKUP(E320,'Plan kont'!$A$4:$B$35,2,FALSE),"")</x:f>
      </x:c>
      <x:c r="G320" s="40"/>
      <x:c r="H320" s="40"/>
      <x:c r="I320" s="32"/>
      <x:c r="J320" s="32"/>
      <x:c r="K320" s="23" t="str">
        <x:f>IF(B320="","",IF(ABS(SUMIF($B$4:$B$503,B320,$G$4:$G$503)-SUMIF($B$4:$B$503,B320,$H$4:$H$503))&lt;0.01,"OK","NIEZGODNY"))</x:f>
      </x:c>
    </x:row>
    <x:row r="321">
      <x:c r="A321" s="33"/>
      <x:c r="B321" s="32"/>
      <x:c r="C321" s="32"/>
      <x:c r="D321" s="32"/>
      <x:c r="E321" s="32"/>
      <x:c r="F321" s="23" t="str">
        <x:f>IFERROR(VLOOKUP(E321,'Plan kont'!$A$4:$B$35,2,FALSE),"")</x:f>
      </x:c>
      <x:c r="G321" s="40"/>
      <x:c r="H321" s="40"/>
      <x:c r="I321" s="32"/>
      <x:c r="J321" s="32"/>
      <x:c r="K321" s="23" t="str">
        <x:f>IF(B321="","",IF(ABS(SUMIF($B$4:$B$503,B321,$G$4:$G$503)-SUMIF($B$4:$B$503,B321,$H$4:$H$503))&lt;0.01,"OK","NIEZGODNY"))</x:f>
      </x:c>
    </x:row>
    <x:row r="322">
      <x:c r="A322" s="33"/>
      <x:c r="B322" s="32"/>
      <x:c r="C322" s="32"/>
      <x:c r="D322" s="32"/>
      <x:c r="E322" s="32"/>
      <x:c r="F322" s="23" t="str">
        <x:f>IFERROR(VLOOKUP(E322,'Plan kont'!$A$4:$B$35,2,FALSE),"")</x:f>
      </x:c>
      <x:c r="G322" s="40"/>
      <x:c r="H322" s="40"/>
      <x:c r="I322" s="32"/>
      <x:c r="J322" s="32"/>
      <x:c r="K322" s="23" t="str">
        <x:f>IF(B322="","",IF(ABS(SUMIF($B$4:$B$503,B322,$G$4:$G$503)-SUMIF($B$4:$B$503,B322,$H$4:$H$503))&lt;0.01,"OK","NIEZGODNY"))</x:f>
      </x:c>
    </x:row>
    <x:row r="323">
      <x:c r="A323" s="33"/>
      <x:c r="B323" s="32"/>
      <x:c r="C323" s="32"/>
      <x:c r="D323" s="32"/>
      <x:c r="E323" s="32"/>
      <x:c r="F323" s="23" t="str">
        <x:f>IFERROR(VLOOKUP(E323,'Plan kont'!$A$4:$B$35,2,FALSE),"")</x:f>
      </x:c>
      <x:c r="G323" s="40"/>
      <x:c r="H323" s="40"/>
      <x:c r="I323" s="32"/>
      <x:c r="J323" s="32"/>
      <x:c r="K323" s="23" t="str">
        <x:f>IF(B323="","",IF(ABS(SUMIF($B$4:$B$503,B323,$G$4:$G$503)-SUMIF($B$4:$B$503,B323,$H$4:$H$503))&lt;0.01,"OK","NIEZGODNY"))</x:f>
      </x:c>
    </x:row>
    <x:row r="324">
      <x:c r="A324" s="33"/>
      <x:c r="B324" s="32"/>
      <x:c r="C324" s="32"/>
      <x:c r="D324" s="32"/>
      <x:c r="E324" s="32"/>
      <x:c r="F324" s="23" t="str">
        <x:f>IFERROR(VLOOKUP(E324,'Plan kont'!$A$4:$B$35,2,FALSE),"")</x:f>
      </x:c>
      <x:c r="G324" s="40"/>
      <x:c r="H324" s="40"/>
      <x:c r="I324" s="32"/>
      <x:c r="J324" s="32"/>
      <x:c r="K324" s="23" t="str">
        <x:f>IF(B324="","",IF(ABS(SUMIF($B$4:$B$503,B324,$G$4:$G$503)-SUMIF($B$4:$B$503,B324,$H$4:$H$503))&lt;0.01,"OK","NIEZGODNY"))</x:f>
      </x:c>
    </x:row>
    <x:row r="325">
      <x:c r="A325" s="33"/>
      <x:c r="B325" s="32"/>
      <x:c r="C325" s="32"/>
      <x:c r="D325" s="32"/>
      <x:c r="E325" s="32"/>
      <x:c r="F325" s="23" t="str">
        <x:f>IFERROR(VLOOKUP(E325,'Plan kont'!$A$4:$B$35,2,FALSE),"")</x:f>
      </x:c>
      <x:c r="G325" s="40"/>
      <x:c r="H325" s="40"/>
      <x:c r="I325" s="32"/>
      <x:c r="J325" s="32"/>
      <x:c r="K325" s="23" t="str">
        <x:f>IF(B325="","",IF(ABS(SUMIF($B$4:$B$503,B325,$G$4:$G$503)-SUMIF($B$4:$B$503,B325,$H$4:$H$503))&lt;0.01,"OK","NIEZGODNY"))</x:f>
      </x:c>
    </x:row>
    <x:row r="326">
      <x:c r="A326" s="33"/>
      <x:c r="B326" s="32"/>
      <x:c r="C326" s="32"/>
      <x:c r="D326" s="32"/>
      <x:c r="E326" s="32"/>
      <x:c r="F326" s="23" t="str">
        <x:f>IFERROR(VLOOKUP(E326,'Plan kont'!$A$4:$B$35,2,FALSE),"")</x:f>
      </x:c>
      <x:c r="G326" s="40"/>
      <x:c r="H326" s="40"/>
      <x:c r="I326" s="32"/>
      <x:c r="J326" s="32"/>
      <x:c r="K326" s="23" t="str">
        <x:f>IF(B326="","",IF(ABS(SUMIF($B$4:$B$503,B326,$G$4:$G$503)-SUMIF($B$4:$B$503,B326,$H$4:$H$503))&lt;0.01,"OK","NIEZGODNY"))</x:f>
      </x:c>
    </x:row>
    <x:row r="327">
      <x:c r="A327" s="33"/>
      <x:c r="B327" s="32"/>
      <x:c r="C327" s="32"/>
      <x:c r="D327" s="32"/>
      <x:c r="E327" s="32"/>
      <x:c r="F327" s="23" t="str">
        <x:f>IFERROR(VLOOKUP(E327,'Plan kont'!$A$4:$B$35,2,FALSE),"")</x:f>
      </x:c>
      <x:c r="G327" s="40"/>
      <x:c r="H327" s="40"/>
      <x:c r="I327" s="32"/>
      <x:c r="J327" s="32"/>
      <x:c r="K327" s="23" t="str">
        <x:f>IF(B327="","",IF(ABS(SUMIF($B$4:$B$503,B327,$G$4:$G$503)-SUMIF($B$4:$B$503,B327,$H$4:$H$503))&lt;0.01,"OK","NIEZGODNY"))</x:f>
      </x:c>
    </x:row>
    <x:row r="328">
      <x:c r="A328" s="33"/>
      <x:c r="B328" s="32"/>
      <x:c r="C328" s="32"/>
      <x:c r="D328" s="32"/>
      <x:c r="E328" s="32"/>
      <x:c r="F328" s="23" t="str">
        <x:f>IFERROR(VLOOKUP(E328,'Plan kont'!$A$4:$B$35,2,FALSE),"")</x:f>
      </x:c>
      <x:c r="G328" s="40"/>
      <x:c r="H328" s="40"/>
      <x:c r="I328" s="32"/>
      <x:c r="J328" s="32"/>
      <x:c r="K328" s="23" t="str">
        <x:f>IF(B328="","",IF(ABS(SUMIF($B$4:$B$503,B328,$G$4:$G$503)-SUMIF($B$4:$B$503,B328,$H$4:$H$503))&lt;0.01,"OK","NIEZGODNY"))</x:f>
      </x:c>
    </x:row>
    <x:row r="329">
      <x:c r="A329" s="33"/>
      <x:c r="B329" s="32"/>
      <x:c r="C329" s="32"/>
      <x:c r="D329" s="32"/>
      <x:c r="E329" s="32"/>
      <x:c r="F329" s="23" t="str">
        <x:f>IFERROR(VLOOKUP(E329,'Plan kont'!$A$4:$B$35,2,FALSE),"")</x:f>
      </x:c>
      <x:c r="G329" s="40"/>
      <x:c r="H329" s="40"/>
      <x:c r="I329" s="32"/>
      <x:c r="J329" s="32"/>
      <x:c r="K329" s="23" t="str">
        <x:f>IF(B329="","",IF(ABS(SUMIF($B$4:$B$503,B329,$G$4:$G$503)-SUMIF($B$4:$B$503,B329,$H$4:$H$503))&lt;0.01,"OK","NIEZGODNY"))</x:f>
      </x:c>
    </x:row>
    <x:row r="330">
      <x:c r="A330" s="33"/>
      <x:c r="B330" s="32"/>
      <x:c r="C330" s="32"/>
      <x:c r="D330" s="32"/>
      <x:c r="E330" s="32"/>
      <x:c r="F330" s="23" t="str">
        <x:f>IFERROR(VLOOKUP(E330,'Plan kont'!$A$4:$B$35,2,FALSE),"")</x:f>
      </x:c>
      <x:c r="G330" s="40"/>
      <x:c r="H330" s="40"/>
      <x:c r="I330" s="32"/>
      <x:c r="J330" s="32"/>
      <x:c r="K330" s="23" t="str">
        <x:f>IF(B330="","",IF(ABS(SUMIF($B$4:$B$503,B330,$G$4:$G$503)-SUMIF($B$4:$B$503,B330,$H$4:$H$503))&lt;0.01,"OK","NIEZGODNY"))</x:f>
      </x:c>
    </x:row>
    <x:row r="331">
      <x:c r="A331" s="33"/>
      <x:c r="B331" s="32"/>
      <x:c r="C331" s="32"/>
      <x:c r="D331" s="32"/>
      <x:c r="E331" s="32"/>
      <x:c r="F331" s="23" t="str">
        <x:f>IFERROR(VLOOKUP(E331,'Plan kont'!$A$4:$B$35,2,FALSE),"")</x:f>
      </x:c>
      <x:c r="G331" s="40"/>
      <x:c r="H331" s="40"/>
      <x:c r="I331" s="32"/>
      <x:c r="J331" s="32"/>
      <x:c r="K331" s="23" t="str">
        <x:f>IF(B331="","",IF(ABS(SUMIF($B$4:$B$503,B331,$G$4:$G$503)-SUMIF($B$4:$B$503,B331,$H$4:$H$503))&lt;0.01,"OK","NIEZGODNY"))</x:f>
      </x:c>
    </x:row>
    <x:row r="332">
      <x:c r="A332" s="33"/>
      <x:c r="B332" s="32"/>
      <x:c r="C332" s="32"/>
      <x:c r="D332" s="32"/>
      <x:c r="E332" s="32"/>
      <x:c r="F332" s="23" t="str">
        <x:f>IFERROR(VLOOKUP(E332,'Plan kont'!$A$4:$B$35,2,FALSE),"")</x:f>
      </x:c>
      <x:c r="G332" s="40"/>
      <x:c r="H332" s="40"/>
      <x:c r="I332" s="32"/>
      <x:c r="J332" s="32"/>
      <x:c r="K332" s="23" t="str">
        <x:f>IF(B332="","",IF(ABS(SUMIF($B$4:$B$503,B332,$G$4:$G$503)-SUMIF($B$4:$B$503,B332,$H$4:$H$503))&lt;0.01,"OK","NIEZGODNY"))</x:f>
      </x:c>
    </x:row>
    <x:row r="333">
      <x:c r="A333" s="33"/>
      <x:c r="B333" s="32"/>
      <x:c r="C333" s="32"/>
      <x:c r="D333" s="32"/>
      <x:c r="E333" s="32"/>
      <x:c r="F333" s="23" t="str">
        <x:f>IFERROR(VLOOKUP(E333,'Plan kont'!$A$4:$B$35,2,FALSE),"")</x:f>
      </x:c>
      <x:c r="G333" s="40"/>
      <x:c r="H333" s="40"/>
      <x:c r="I333" s="32"/>
      <x:c r="J333" s="32"/>
      <x:c r="K333" s="23" t="str">
        <x:f>IF(B333="","",IF(ABS(SUMIF($B$4:$B$503,B333,$G$4:$G$503)-SUMIF($B$4:$B$503,B333,$H$4:$H$503))&lt;0.01,"OK","NIEZGODNY"))</x:f>
      </x:c>
    </x:row>
    <x:row r="334">
      <x:c r="A334" s="33"/>
      <x:c r="B334" s="32"/>
      <x:c r="C334" s="32"/>
      <x:c r="D334" s="32"/>
      <x:c r="E334" s="32"/>
      <x:c r="F334" s="23" t="str">
        <x:f>IFERROR(VLOOKUP(E334,'Plan kont'!$A$4:$B$35,2,FALSE),"")</x:f>
      </x:c>
      <x:c r="G334" s="40"/>
      <x:c r="H334" s="40"/>
      <x:c r="I334" s="32"/>
      <x:c r="J334" s="32"/>
      <x:c r="K334" s="23" t="str">
        <x:f>IF(B334="","",IF(ABS(SUMIF($B$4:$B$503,B334,$G$4:$G$503)-SUMIF($B$4:$B$503,B334,$H$4:$H$503))&lt;0.01,"OK","NIEZGODNY"))</x:f>
      </x:c>
    </x:row>
    <x:row r="335">
      <x:c r="A335" s="33"/>
      <x:c r="B335" s="32"/>
      <x:c r="C335" s="32"/>
      <x:c r="D335" s="32"/>
      <x:c r="E335" s="32"/>
      <x:c r="F335" s="23" t="str">
        <x:f>IFERROR(VLOOKUP(E335,'Plan kont'!$A$4:$B$35,2,FALSE),"")</x:f>
      </x:c>
      <x:c r="G335" s="40"/>
      <x:c r="H335" s="40"/>
      <x:c r="I335" s="32"/>
      <x:c r="J335" s="32"/>
      <x:c r="K335" s="23" t="str">
        <x:f>IF(B335="","",IF(ABS(SUMIF($B$4:$B$503,B335,$G$4:$G$503)-SUMIF($B$4:$B$503,B335,$H$4:$H$503))&lt;0.01,"OK","NIEZGODNY"))</x:f>
      </x:c>
    </x:row>
    <x:row r="336">
      <x:c r="A336" s="33"/>
      <x:c r="B336" s="32"/>
      <x:c r="C336" s="32"/>
      <x:c r="D336" s="32"/>
      <x:c r="E336" s="32"/>
      <x:c r="F336" s="23" t="str">
        <x:f>IFERROR(VLOOKUP(E336,'Plan kont'!$A$4:$B$35,2,FALSE),"")</x:f>
      </x:c>
      <x:c r="G336" s="40"/>
      <x:c r="H336" s="40"/>
      <x:c r="I336" s="32"/>
      <x:c r="J336" s="32"/>
      <x:c r="K336" s="23" t="str">
        <x:f>IF(B336="","",IF(ABS(SUMIF($B$4:$B$503,B336,$G$4:$G$503)-SUMIF($B$4:$B$503,B336,$H$4:$H$503))&lt;0.01,"OK","NIEZGODNY"))</x:f>
      </x:c>
    </x:row>
    <x:row r="337">
      <x:c r="A337" s="33"/>
      <x:c r="B337" s="32"/>
      <x:c r="C337" s="32"/>
      <x:c r="D337" s="32"/>
      <x:c r="E337" s="32"/>
      <x:c r="F337" s="23" t="str">
        <x:f>IFERROR(VLOOKUP(E337,'Plan kont'!$A$4:$B$35,2,FALSE),"")</x:f>
      </x:c>
      <x:c r="G337" s="40"/>
      <x:c r="H337" s="40"/>
      <x:c r="I337" s="32"/>
      <x:c r="J337" s="32"/>
      <x:c r="K337" s="23" t="str">
        <x:f>IF(B337="","",IF(ABS(SUMIF($B$4:$B$503,B337,$G$4:$G$503)-SUMIF($B$4:$B$503,B337,$H$4:$H$503))&lt;0.01,"OK","NIEZGODNY"))</x:f>
      </x:c>
    </x:row>
    <x:row r="338">
      <x:c r="A338" s="33"/>
      <x:c r="B338" s="32"/>
      <x:c r="C338" s="32"/>
      <x:c r="D338" s="32"/>
      <x:c r="E338" s="32"/>
      <x:c r="F338" s="23" t="str">
        <x:f>IFERROR(VLOOKUP(E338,'Plan kont'!$A$4:$B$35,2,FALSE),"")</x:f>
      </x:c>
      <x:c r="G338" s="40"/>
      <x:c r="H338" s="40"/>
      <x:c r="I338" s="32"/>
      <x:c r="J338" s="32"/>
      <x:c r="K338" s="23" t="str">
        <x:f>IF(B338="","",IF(ABS(SUMIF($B$4:$B$503,B338,$G$4:$G$503)-SUMIF($B$4:$B$503,B338,$H$4:$H$503))&lt;0.01,"OK","NIEZGODNY"))</x:f>
      </x:c>
    </x:row>
    <x:row r="339">
      <x:c r="A339" s="33"/>
      <x:c r="B339" s="32"/>
      <x:c r="C339" s="32"/>
      <x:c r="D339" s="32"/>
      <x:c r="E339" s="32"/>
      <x:c r="F339" s="23" t="str">
        <x:f>IFERROR(VLOOKUP(E339,'Plan kont'!$A$4:$B$35,2,FALSE),"")</x:f>
      </x:c>
      <x:c r="G339" s="40"/>
      <x:c r="H339" s="40"/>
      <x:c r="I339" s="32"/>
      <x:c r="J339" s="32"/>
      <x:c r="K339" s="23" t="str">
        <x:f>IF(B339="","",IF(ABS(SUMIF($B$4:$B$503,B339,$G$4:$G$503)-SUMIF($B$4:$B$503,B339,$H$4:$H$503))&lt;0.01,"OK","NIEZGODNY"))</x:f>
      </x:c>
    </x:row>
    <x:row r="340">
      <x:c r="A340" s="33"/>
      <x:c r="B340" s="32"/>
      <x:c r="C340" s="32"/>
      <x:c r="D340" s="32"/>
      <x:c r="E340" s="32"/>
      <x:c r="F340" s="23" t="str">
        <x:f>IFERROR(VLOOKUP(E340,'Plan kont'!$A$4:$B$35,2,FALSE),"")</x:f>
      </x:c>
      <x:c r="G340" s="40"/>
      <x:c r="H340" s="40"/>
      <x:c r="I340" s="32"/>
      <x:c r="J340" s="32"/>
      <x:c r="K340" s="23" t="str">
        <x:f>IF(B340="","",IF(ABS(SUMIF($B$4:$B$503,B340,$G$4:$G$503)-SUMIF($B$4:$B$503,B340,$H$4:$H$503))&lt;0.01,"OK","NIEZGODNY"))</x:f>
      </x:c>
    </x:row>
    <x:row r="341">
      <x:c r="A341" s="33"/>
      <x:c r="B341" s="32"/>
      <x:c r="C341" s="32"/>
      <x:c r="D341" s="32"/>
      <x:c r="E341" s="32"/>
      <x:c r="F341" s="23" t="str">
        <x:f>IFERROR(VLOOKUP(E341,'Plan kont'!$A$4:$B$35,2,FALSE),"")</x:f>
      </x:c>
      <x:c r="G341" s="40"/>
      <x:c r="H341" s="40"/>
      <x:c r="I341" s="32"/>
      <x:c r="J341" s="32"/>
      <x:c r="K341" s="23" t="str">
        <x:f>IF(B341="","",IF(ABS(SUMIF($B$4:$B$503,B341,$G$4:$G$503)-SUMIF($B$4:$B$503,B341,$H$4:$H$503))&lt;0.01,"OK","NIEZGODNY"))</x:f>
      </x:c>
    </x:row>
    <x:row r="342">
      <x:c r="A342" s="33"/>
      <x:c r="B342" s="32"/>
      <x:c r="C342" s="32"/>
      <x:c r="D342" s="32"/>
      <x:c r="E342" s="32"/>
      <x:c r="F342" s="23" t="str">
        <x:f>IFERROR(VLOOKUP(E342,'Plan kont'!$A$4:$B$35,2,FALSE),"")</x:f>
      </x:c>
      <x:c r="G342" s="40"/>
      <x:c r="H342" s="40"/>
      <x:c r="I342" s="32"/>
      <x:c r="J342" s="32"/>
      <x:c r="K342" s="23" t="str">
        <x:f>IF(B342="","",IF(ABS(SUMIF($B$4:$B$503,B342,$G$4:$G$503)-SUMIF($B$4:$B$503,B342,$H$4:$H$503))&lt;0.01,"OK","NIEZGODNY"))</x:f>
      </x:c>
    </x:row>
    <x:row r="343">
      <x:c r="A343" s="33"/>
      <x:c r="B343" s="32"/>
      <x:c r="C343" s="32"/>
      <x:c r="D343" s="32"/>
      <x:c r="E343" s="32"/>
      <x:c r="F343" s="23" t="str">
        <x:f>IFERROR(VLOOKUP(E343,'Plan kont'!$A$4:$B$35,2,FALSE),"")</x:f>
      </x:c>
      <x:c r="G343" s="40"/>
      <x:c r="H343" s="40"/>
      <x:c r="I343" s="32"/>
      <x:c r="J343" s="32"/>
      <x:c r="K343" s="23" t="str">
        <x:f>IF(B343="","",IF(ABS(SUMIF($B$4:$B$503,B343,$G$4:$G$503)-SUMIF($B$4:$B$503,B343,$H$4:$H$503))&lt;0.01,"OK","NIEZGODNY"))</x:f>
      </x:c>
    </x:row>
    <x:row r="344">
      <x:c r="A344" s="33"/>
      <x:c r="B344" s="32"/>
      <x:c r="C344" s="32"/>
      <x:c r="D344" s="32"/>
      <x:c r="E344" s="32"/>
      <x:c r="F344" s="23" t="str">
        <x:f>IFERROR(VLOOKUP(E344,'Plan kont'!$A$4:$B$35,2,FALSE),"")</x:f>
      </x:c>
      <x:c r="G344" s="40"/>
      <x:c r="H344" s="40"/>
      <x:c r="I344" s="32"/>
      <x:c r="J344" s="32"/>
      <x:c r="K344" s="23" t="str">
        <x:f>IF(B344="","",IF(ABS(SUMIF($B$4:$B$503,B344,$G$4:$G$503)-SUMIF($B$4:$B$503,B344,$H$4:$H$503))&lt;0.01,"OK","NIEZGODNY"))</x:f>
      </x:c>
    </x:row>
    <x:row r="345">
      <x:c r="A345" s="33"/>
      <x:c r="B345" s="32"/>
      <x:c r="C345" s="32"/>
      <x:c r="D345" s="32"/>
      <x:c r="E345" s="32"/>
      <x:c r="F345" s="23" t="str">
        <x:f>IFERROR(VLOOKUP(E345,'Plan kont'!$A$4:$B$35,2,FALSE),"")</x:f>
      </x:c>
      <x:c r="G345" s="40"/>
      <x:c r="H345" s="40"/>
      <x:c r="I345" s="32"/>
      <x:c r="J345" s="32"/>
      <x:c r="K345" s="23" t="str">
        <x:f>IF(B345="","",IF(ABS(SUMIF($B$4:$B$503,B345,$G$4:$G$503)-SUMIF($B$4:$B$503,B345,$H$4:$H$503))&lt;0.01,"OK","NIEZGODNY"))</x:f>
      </x:c>
    </x:row>
    <x:row r="346">
      <x:c r="A346" s="33"/>
      <x:c r="B346" s="32"/>
      <x:c r="C346" s="32"/>
      <x:c r="D346" s="32"/>
      <x:c r="E346" s="32"/>
      <x:c r="F346" s="23" t="str">
        <x:f>IFERROR(VLOOKUP(E346,'Plan kont'!$A$4:$B$35,2,FALSE),"")</x:f>
      </x:c>
      <x:c r="G346" s="40"/>
      <x:c r="H346" s="40"/>
      <x:c r="I346" s="32"/>
      <x:c r="J346" s="32"/>
      <x:c r="K346" s="23" t="str">
        <x:f>IF(B346="","",IF(ABS(SUMIF($B$4:$B$503,B346,$G$4:$G$503)-SUMIF($B$4:$B$503,B346,$H$4:$H$503))&lt;0.01,"OK","NIEZGODNY"))</x:f>
      </x:c>
    </x:row>
    <x:row r="347">
      <x:c r="A347" s="33"/>
      <x:c r="B347" s="32"/>
      <x:c r="C347" s="32"/>
      <x:c r="D347" s="32"/>
      <x:c r="E347" s="32"/>
      <x:c r="F347" s="23" t="str">
        <x:f>IFERROR(VLOOKUP(E347,'Plan kont'!$A$4:$B$35,2,FALSE),"")</x:f>
      </x:c>
      <x:c r="G347" s="40"/>
      <x:c r="H347" s="40"/>
      <x:c r="I347" s="32"/>
      <x:c r="J347" s="32"/>
      <x:c r="K347" s="23" t="str">
        <x:f>IF(B347="","",IF(ABS(SUMIF($B$4:$B$503,B347,$G$4:$G$503)-SUMIF($B$4:$B$503,B347,$H$4:$H$503))&lt;0.01,"OK","NIEZGODNY"))</x:f>
      </x:c>
    </x:row>
    <x:row r="348">
      <x:c r="A348" s="33"/>
      <x:c r="B348" s="32"/>
      <x:c r="C348" s="32"/>
      <x:c r="D348" s="32"/>
      <x:c r="E348" s="32"/>
      <x:c r="F348" s="23" t="str">
        <x:f>IFERROR(VLOOKUP(E348,'Plan kont'!$A$4:$B$35,2,FALSE),"")</x:f>
      </x:c>
      <x:c r="G348" s="40"/>
      <x:c r="H348" s="40"/>
      <x:c r="I348" s="32"/>
      <x:c r="J348" s="32"/>
      <x:c r="K348" s="23" t="str">
        <x:f>IF(B348="","",IF(ABS(SUMIF($B$4:$B$503,B348,$G$4:$G$503)-SUMIF($B$4:$B$503,B348,$H$4:$H$503))&lt;0.01,"OK","NIEZGODNY"))</x:f>
      </x:c>
    </x:row>
    <x:row r="349">
      <x:c r="A349" s="33"/>
      <x:c r="B349" s="32"/>
      <x:c r="C349" s="32"/>
      <x:c r="D349" s="32"/>
      <x:c r="E349" s="32"/>
      <x:c r="F349" s="23" t="str">
        <x:f>IFERROR(VLOOKUP(E349,'Plan kont'!$A$4:$B$35,2,FALSE),"")</x:f>
      </x:c>
      <x:c r="G349" s="40"/>
      <x:c r="H349" s="40"/>
      <x:c r="I349" s="32"/>
      <x:c r="J349" s="32"/>
      <x:c r="K349" s="23" t="str">
        <x:f>IF(B349="","",IF(ABS(SUMIF($B$4:$B$503,B349,$G$4:$G$503)-SUMIF($B$4:$B$503,B349,$H$4:$H$503))&lt;0.01,"OK","NIEZGODNY"))</x:f>
      </x:c>
    </x:row>
    <x:row r="350">
      <x:c r="A350" s="33"/>
      <x:c r="B350" s="32"/>
      <x:c r="C350" s="32"/>
      <x:c r="D350" s="32"/>
      <x:c r="E350" s="32"/>
      <x:c r="F350" s="23" t="str">
        <x:f>IFERROR(VLOOKUP(E350,'Plan kont'!$A$4:$B$35,2,FALSE),"")</x:f>
      </x:c>
      <x:c r="G350" s="40"/>
      <x:c r="H350" s="40"/>
      <x:c r="I350" s="32"/>
      <x:c r="J350" s="32"/>
      <x:c r="K350" s="23" t="str">
        <x:f>IF(B350="","",IF(ABS(SUMIF($B$4:$B$503,B350,$G$4:$G$503)-SUMIF($B$4:$B$503,B350,$H$4:$H$503))&lt;0.01,"OK","NIEZGODNY"))</x:f>
      </x:c>
    </x:row>
    <x:row r="351">
      <x:c r="A351" s="33"/>
      <x:c r="B351" s="32"/>
      <x:c r="C351" s="32"/>
      <x:c r="D351" s="32"/>
      <x:c r="E351" s="32"/>
      <x:c r="F351" s="23" t="str">
        <x:f>IFERROR(VLOOKUP(E351,'Plan kont'!$A$4:$B$35,2,FALSE),"")</x:f>
      </x:c>
      <x:c r="G351" s="40"/>
      <x:c r="H351" s="40"/>
      <x:c r="I351" s="32"/>
      <x:c r="J351" s="32"/>
      <x:c r="K351" s="23" t="str">
        <x:f>IF(B351="","",IF(ABS(SUMIF($B$4:$B$503,B351,$G$4:$G$503)-SUMIF($B$4:$B$503,B351,$H$4:$H$503))&lt;0.01,"OK","NIEZGODNY"))</x:f>
      </x:c>
    </x:row>
    <x:row r="352">
      <x:c r="A352" s="33"/>
      <x:c r="B352" s="32"/>
      <x:c r="C352" s="32"/>
      <x:c r="D352" s="32"/>
      <x:c r="E352" s="32"/>
      <x:c r="F352" s="23" t="str">
        <x:f>IFERROR(VLOOKUP(E352,'Plan kont'!$A$4:$B$35,2,FALSE),"")</x:f>
      </x:c>
      <x:c r="G352" s="40"/>
      <x:c r="H352" s="40"/>
      <x:c r="I352" s="32"/>
      <x:c r="J352" s="32"/>
      <x:c r="K352" s="23" t="str">
        <x:f>IF(B352="","",IF(ABS(SUMIF($B$4:$B$503,B352,$G$4:$G$503)-SUMIF($B$4:$B$503,B352,$H$4:$H$503))&lt;0.01,"OK","NIEZGODNY"))</x:f>
      </x:c>
    </x:row>
    <x:row r="353">
      <x:c r="A353" s="33"/>
      <x:c r="B353" s="32"/>
      <x:c r="C353" s="32"/>
      <x:c r="D353" s="32"/>
      <x:c r="E353" s="32"/>
      <x:c r="F353" s="23" t="str">
        <x:f>IFERROR(VLOOKUP(E353,'Plan kont'!$A$4:$B$35,2,FALSE),"")</x:f>
      </x:c>
      <x:c r="G353" s="40"/>
      <x:c r="H353" s="40"/>
      <x:c r="I353" s="32"/>
      <x:c r="J353" s="32"/>
      <x:c r="K353" s="23" t="str">
        <x:f>IF(B353="","",IF(ABS(SUMIF($B$4:$B$503,B353,$G$4:$G$503)-SUMIF($B$4:$B$503,B353,$H$4:$H$503))&lt;0.01,"OK","NIEZGODNY"))</x:f>
      </x:c>
    </x:row>
    <x:row r="354">
      <x:c r="A354" s="33"/>
      <x:c r="B354" s="32"/>
      <x:c r="C354" s="32"/>
      <x:c r="D354" s="32"/>
      <x:c r="E354" s="32"/>
      <x:c r="F354" s="23" t="str">
        <x:f>IFERROR(VLOOKUP(E354,'Plan kont'!$A$4:$B$35,2,FALSE),"")</x:f>
      </x:c>
      <x:c r="G354" s="40"/>
      <x:c r="H354" s="40"/>
      <x:c r="I354" s="32"/>
      <x:c r="J354" s="32"/>
      <x:c r="K354" s="23" t="str">
        <x:f>IF(B354="","",IF(ABS(SUMIF($B$4:$B$503,B354,$G$4:$G$503)-SUMIF($B$4:$B$503,B354,$H$4:$H$503))&lt;0.01,"OK","NIEZGODNY"))</x:f>
      </x:c>
    </x:row>
    <x:row r="355">
      <x:c r="A355" s="33"/>
      <x:c r="B355" s="32"/>
      <x:c r="C355" s="32"/>
      <x:c r="D355" s="32"/>
      <x:c r="E355" s="32"/>
      <x:c r="F355" s="23" t="str">
        <x:f>IFERROR(VLOOKUP(E355,'Plan kont'!$A$4:$B$35,2,FALSE),"")</x:f>
      </x:c>
      <x:c r="G355" s="40"/>
      <x:c r="H355" s="40"/>
      <x:c r="I355" s="32"/>
      <x:c r="J355" s="32"/>
      <x:c r="K355" s="23" t="str">
        <x:f>IF(B355="","",IF(ABS(SUMIF($B$4:$B$503,B355,$G$4:$G$503)-SUMIF($B$4:$B$503,B355,$H$4:$H$503))&lt;0.01,"OK","NIEZGODNY"))</x:f>
      </x:c>
    </x:row>
    <x:row r="356">
      <x:c r="A356" s="33"/>
      <x:c r="B356" s="32"/>
      <x:c r="C356" s="32"/>
      <x:c r="D356" s="32"/>
      <x:c r="E356" s="32"/>
      <x:c r="F356" s="23" t="str">
        <x:f>IFERROR(VLOOKUP(E356,'Plan kont'!$A$4:$B$35,2,FALSE),"")</x:f>
      </x:c>
      <x:c r="G356" s="40"/>
      <x:c r="H356" s="40"/>
      <x:c r="I356" s="32"/>
      <x:c r="J356" s="32"/>
      <x:c r="K356" s="23" t="str">
        <x:f>IF(B356="","",IF(ABS(SUMIF($B$4:$B$503,B356,$G$4:$G$503)-SUMIF($B$4:$B$503,B356,$H$4:$H$503))&lt;0.01,"OK","NIEZGODNY"))</x:f>
      </x:c>
    </x:row>
    <x:row r="357">
      <x:c r="A357" s="33"/>
      <x:c r="B357" s="32"/>
      <x:c r="C357" s="32"/>
      <x:c r="D357" s="32"/>
      <x:c r="E357" s="32"/>
      <x:c r="F357" s="23" t="str">
        <x:f>IFERROR(VLOOKUP(E357,'Plan kont'!$A$4:$B$35,2,FALSE),"")</x:f>
      </x:c>
      <x:c r="G357" s="40"/>
      <x:c r="H357" s="40"/>
      <x:c r="I357" s="32"/>
      <x:c r="J357" s="32"/>
      <x:c r="K357" s="23" t="str">
        <x:f>IF(B357="","",IF(ABS(SUMIF($B$4:$B$503,B357,$G$4:$G$503)-SUMIF($B$4:$B$503,B357,$H$4:$H$503))&lt;0.01,"OK","NIEZGODNY"))</x:f>
      </x:c>
    </x:row>
    <x:row r="358">
      <x:c r="A358" s="33"/>
      <x:c r="B358" s="32"/>
      <x:c r="C358" s="32"/>
      <x:c r="D358" s="32"/>
      <x:c r="E358" s="32"/>
      <x:c r="F358" s="23" t="str">
        <x:f>IFERROR(VLOOKUP(E358,'Plan kont'!$A$4:$B$35,2,FALSE),"")</x:f>
      </x:c>
      <x:c r="G358" s="40"/>
      <x:c r="H358" s="40"/>
      <x:c r="I358" s="32"/>
      <x:c r="J358" s="32"/>
      <x:c r="K358" s="23" t="str">
        <x:f>IF(B358="","",IF(ABS(SUMIF($B$4:$B$503,B358,$G$4:$G$503)-SUMIF($B$4:$B$503,B358,$H$4:$H$503))&lt;0.01,"OK","NIEZGODNY"))</x:f>
      </x:c>
    </x:row>
    <x:row r="359">
      <x:c r="A359" s="33"/>
      <x:c r="B359" s="32"/>
      <x:c r="C359" s="32"/>
      <x:c r="D359" s="32"/>
      <x:c r="E359" s="32"/>
      <x:c r="F359" s="23" t="str">
        <x:f>IFERROR(VLOOKUP(E359,'Plan kont'!$A$4:$B$35,2,FALSE),"")</x:f>
      </x:c>
      <x:c r="G359" s="40"/>
      <x:c r="H359" s="40"/>
      <x:c r="I359" s="32"/>
      <x:c r="J359" s="32"/>
      <x:c r="K359" s="23" t="str">
        <x:f>IF(B359="","",IF(ABS(SUMIF($B$4:$B$503,B359,$G$4:$G$503)-SUMIF($B$4:$B$503,B359,$H$4:$H$503))&lt;0.01,"OK","NIEZGODNY"))</x:f>
      </x:c>
    </x:row>
    <x:row r="360">
      <x:c r="A360" s="33"/>
      <x:c r="B360" s="32"/>
      <x:c r="C360" s="32"/>
      <x:c r="D360" s="32"/>
      <x:c r="E360" s="32"/>
      <x:c r="F360" s="23" t="str">
        <x:f>IFERROR(VLOOKUP(E360,'Plan kont'!$A$4:$B$35,2,FALSE),"")</x:f>
      </x:c>
      <x:c r="G360" s="40"/>
      <x:c r="H360" s="40"/>
      <x:c r="I360" s="32"/>
      <x:c r="J360" s="32"/>
      <x:c r="K360" s="23" t="str">
        <x:f>IF(B360="","",IF(ABS(SUMIF($B$4:$B$503,B360,$G$4:$G$503)-SUMIF($B$4:$B$503,B360,$H$4:$H$503))&lt;0.01,"OK","NIEZGODNY"))</x:f>
      </x:c>
    </x:row>
    <x:row r="361">
      <x:c r="A361" s="33"/>
      <x:c r="B361" s="32"/>
      <x:c r="C361" s="32"/>
      <x:c r="D361" s="32"/>
      <x:c r="E361" s="32"/>
      <x:c r="F361" s="23" t="str">
        <x:f>IFERROR(VLOOKUP(E361,'Plan kont'!$A$4:$B$35,2,FALSE),"")</x:f>
      </x:c>
      <x:c r="G361" s="40"/>
      <x:c r="H361" s="40"/>
      <x:c r="I361" s="32"/>
      <x:c r="J361" s="32"/>
      <x:c r="K361" s="23" t="str">
        <x:f>IF(B361="","",IF(ABS(SUMIF($B$4:$B$503,B361,$G$4:$G$503)-SUMIF($B$4:$B$503,B361,$H$4:$H$503))&lt;0.01,"OK","NIEZGODNY"))</x:f>
      </x:c>
    </x:row>
    <x:row r="362">
      <x:c r="A362" s="33"/>
      <x:c r="B362" s="32"/>
      <x:c r="C362" s="32"/>
      <x:c r="D362" s="32"/>
      <x:c r="E362" s="32"/>
      <x:c r="F362" s="23" t="str">
        <x:f>IFERROR(VLOOKUP(E362,'Plan kont'!$A$4:$B$35,2,FALSE),"")</x:f>
      </x:c>
      <x:c r="G362" s="40"/>
      <x:c r="H362" s="40"/>
      <x:c r="I362" s="32"/>
      <x:c r="J362" s="32"/>
      <x:c r="K362" s="23" t="str">
        <x:f>IF(B362="","",IF(ABS(SUMIF($B$4:$B$503,B362,$G$4:$G$503)-SUMIF($B$4:$B$503,B362,$H$4:$H$503))&lt;0.01,"OK","NIEZGODNY"))</x:f>
      </x:c>
    </x:row>
    <x:row r="363">
      <x:c r="A363" s="33"/>
      <x:c r="B363" s="32"/>
      <x:c r="C363" s="32"/>
      <x:c r="D363" s="32"/>
      <x:c r="E363" s="32"/>
      <x:c r="F363" s="23" t="str">
        <x:f>IFERROR(VLOOKUP(E363,'Plan kont'!$A$4:$B$35,2,FALSE),"")</x:f>
      </x:c>
      <x:c r="G363" s="40"/>
      <x:c r="H363" s="40"/>
      <x:c r="I363" s="32"/>
      <x:c r="J363" s="32"/>
      <x:c r="K363" s="23" t="str">
        <x:f>IF(B363="","",IF(ABS(SUMIF($B$4:$B$503,B363,$G$4:$G$503)-SUMIF($B$4:$B$503,B363,$H$4:$H$503))&lt;0.01,"OK","NIEZGODNY"))</x:f>
      </x:c>
    </x:row>
    <x:row r="364">
      <x:c r="A364" s="33"/>
      <x:c r="B364" s="32"/>
      <x:c r="C364" s="32"/>
      <x:c r="D364" s="32"/>
      <x:c r="E364" s="32"/>
      <x:c r="F364" s="23" t="str">
        <x:f>IFERROR(VLOOKUP(E364,'Plan kont'!$A$4:$B$35,2,FALSE),"")</x:f>
      </x:c>
      <x:c r="G364" s="40"/>
      <x:c r="H364" s="40"/>
      <x:c r="I364" s="32"/>
      <x:c r="J364" s="32"/>
      <x:c r="K364" s="23" t="str">
        <x:f>IF(B364="","",IF(ABS(SUMIF($B$4:$B$503,B364,$G$4:$G$503)-SUMIF($B$4:$B$503,B364,$H$4:$H$503))&lt;0.01,"OK","NIEZGODNY"))</x:f>
      </x:c>
    </x:row>
    <x:row r="365">
      <x:c r="A365" s="33"/>
      <x:c r="B365" s="32"/>
      <x:c r="C365" s="32"/>
      <x:c r="D365" s="32"/>
      <x:c r="E365" s="32"/>
      <x:c r="F365" s="23" t="str">
        <x:f>IFERROR(VLOOKUP(E365,'Plan kont'!$A$4:$B$35,2,FALSE),"")</x:f>
      </x:c>
      <x:c r="G365" s="40"/>
      <x:c r="H365" s="40"/>
      <x:c r="I365" s="32"/>
      <x:c r="J365" s="32"/>
      <x:c r="K365" s="23" t="str">
        <x:f>IF(B365="","",IF(ABS(SUMIF($B$4:$B$503,B365,$G$4:$G$503)-SUMIF($B$4:$B$503,B365,$H$4:$H$503))&lt;0.01,"OK","NIEZGODNY"))</x:f>
      </x:c>
    </x:row>
    <x:row r="366">
      <x:c r="A366" s="33"/>
      <x:c r="B366" s="32"/>
      <x:c r="C366" s="32"/>
      <x:c r="D366" s="32"/>
      <x:c r="E366" s="32"/>
      <x:c r="F366" s="23" t="str">
        <x:f>IFERROR(VLOOKUP(E366,'Plan kont'!$A$4:$B$35,2,FALSE),"")</x:f>
      </x:c>
      <x:c r="G366" s="40"/>
      <x:c r="H366" s="40"/>
      <x:c r="I366" s="32"/>
      <x:c r="J366" s="32"/>
      <x:c r="K366" s="23" t="str">
        <x:f>IF(B366="","",IF(ABS(SUMIF($B$4:$B$503,B366,$G$4:$G$503)-SUMIF($B$4:$B$503,B366,$H$4:$H$503))&lt;0.01,"OK","NIEZGODNY"))</x:f>
      </x:c>
    </x:row>
    <x:row r="367">
      <x:c r="A367" s="33"/>
      <x:c r="B367" s="32"/>
      <x:c r="C367" s="32"/>
      <x:c r="D367" s="32"/>
      <x:c r="E367" s="32"/>
      <x:c r="F367" s="23" t="str">
        <x:f>IFERROR(VLOOKUP(E367,'Plan kont'!$A$4:$B$35,2,FALSE),"")</x:f>
      </x:c>
      <x:c r="G367" s="40"/>
      <x:c r="H367" s="40"/>
      <x:c r="I367" s="32"/>
      <x:c r="J367" s="32"/>
      <x:c r="K367" s="23" t="str">
        <x:f>IF(B367="","",IF(ABS(SUMIF($B$4:$B$503,B367,$G$4:$G$503)-SUMIF($B$4:$B$503,B367,$H$4:$H$503))&lt;0.01,"OK","NIEZGODNY"))</x:f>
      </x:c>
    </x:row>
    <x:row r="368">
      <x:c r="A368" s="33"/>
      <x:c r="B368" s="32"/>
      <x:c r="C368" s="32"/>
      <x:c r="D368" s="32"/>
      <x:c r="E368" s="32"/>
      <x:c r="F368" s="23" t="str">
        <x:f>IFERROR(VLOOKUP(E368,'Plan kont'!$A$4:$B$35,2,FALSE),"")</x:f>
      </x:c>
      <x:c r="G368" s="40"/>
      <x:c r="H368" s="40"/>
      <x:c r="I368" s="32"/>
      <x:c r="J368" s="32"/>
      <x:c r="K368" s="23" t="str">
        <x:f>IF(B368="","",IF(ABS(SUMIF($B$4:$B$503,B368,$G$4:$G$503)-SUMIF($B$4:$B$503,B368,$H$4:$H$503))&lt;0.01,"OK","NIEZGODNY"))</x:f>
      </x:c>
    </x:row>
    <x:row r="369">
      <x:c r="A369" s="33"/>
      <x:c r="B369" s="32"/>
      <x:c r="C369" s="32"/>
      <x:c r="D369" s="32"/>
      <x:c r="E369" s="32"/>
      <x:c r="F369" s="23" t="str">
        <x:f>IFERROR(VLOOKUP(E369,'Plan kont'!$A$4:$B$35,2,FALSE),"")</x:f>
      </x:c>
      <x:c r="G369" s="40"/>
      <x:c r="H369" s="40"/>
      <x:c r="I369" s="32"/>
      <x:c r="J369" s="32"/>
      <x:c r="K369" s="23" t="str">
        <x:f>IF(B369="","",IF(ABS(SUMIF($B$4:$B$503,B369,$G$4:$G$503)-SUMIF($B$4:$B$503,B369,$H$4:$H$503))&lt;0.01,"OK","NIEZGODNY"))</x:f>
      </x:c>
    </x:row>
    <x:row r="370">
      <x:c r="A370" s="33"/>
      <x:c r="B370" s="32"/>
      <x:c r="C370" s="32"/>
      <x:c r="D370" s="32"/>
      <x:c r="E370" s="32"/>
      <x:c r="F370" s="23" t="str">
        <x:f>IFERROR(VLOOKUP(E370,'Plan kont'!$A$4:$B$35,2,FALSE),"")</x:f>
      </x:c>
      <x:c r="G370" s="40"/>
      <x:c r="H370" s="40"/>
      <x:c r="I370" s="32"/>
      <x:c r="J370" s="32"/>
      <x:c r="K370" s="23" t="str">
        <x:f>IF(B370="","",IF(ABS(SUMIF($B$4:$B$503,B370,$G$4:$G$503)-SUMIF($B$4:$B$503,B370,$H$4:$H$503))&lt;0.01,"OK","NIEZGODNY"))</x:f>
      </x:c>
    </x:row>
    <x:row r="371">
      <x:c r="A371" s="33"/>
      <x:c r="B371" s="32"/>
      <x:c r="C371" s="32"/>
      <x:c r="D371" s="32"/>
      <x:c r="E371" s="32"/>
      <x:c r="F371" s="23" t="str">
        <x:f>IFERROR(VLOOKUP(E371,'Plan kont'!$A$4:$B$35,2,FALSE),"")</x:f>
      </x:c>
      <x:c r="G371" s="40"/>
      <x:c r="H371" s="40"/>
      <x:c r="I371" s="32"/>
      <x:c r="J371" s="32"/>
      <x:c r="K371" s="23" t="str">
        <x:f>IF(B371="","",IF(ABS(SUMIF($B$4:$B$503,B371,$G$4:$G$503)-SUMIF($B$4:$B$503,B371,$H$4:$H$503))&lt;0.01,"OK","NIEZGODNY"))</x:f>
      </x:c>
    </x:row>
    <x:row r="372">
      <x:c r="A372" s="33"/>
      <x:c r="B372" s="32"/>
      <x:c r="C372" s="32"/>
      <x:c r="D372" s="32"/>
      <x:c r="E372" s="32"/>
      <x:c r="F372" s="23" t="str">
        <x:f>IFERROR(VLOOKUP(E372,'Plan kont'!$A$4:$B$35,2,FALSE),"")</x:f>
      </x:c>
      <x:c r="G372" s="40"/>
      <x:c r="H372" s="40"/>
      <x:c r="I372" s="32"/>
      <x:c r="J372" s="32"/>
      <x:c r="K372" s="23" t="str">
        <x:f>IF(B372="","",IF(ABS(SUMIF($B$4:$B$503,B372,$G$4:$G$503)-SUMIF($B$4:$B$503,B372,$H$4:$H$503))&lt;0.01,"OK","NIEZGODNY"))</x:f>
      </x:c>
    </x:row>
    <x:row r="373">
      <x:c r="A373" s="33"/>
      <x:c r="B373" s="32"/>
      <x:c r="C373" s="32"/>
      <x:c r="D373" s="32"/>
      <x:c r="E373" s="32"/>
      <x:c r="F373" s="23" t="str">
        <x:f>IFERROR(VLOOKUP(E373,'Plan kont'!$A$4:$B$35,2,FALSE),"")</x:f>
      </x:c>
      <x:c r="G373" s="40"/>
      <x:c r="H373" s="40"/>
      <x:c r="I373" s="32"/>
      <x:c r="J373" s="32"/>
      <x:c r="K373" s="23" t="str">
        <x:f>IF(B373="","",IF(ABS(SUMIF($B$4:$B$503,B373,$G$4:$G$503)-SUMIF($B$4:$B$503,B373,$H$4:$H$503))&lt;0.01,"OK","NIEZGODNY"))</x:f>
      </x:c>
    </x:row>
    <x:row r="374">
      <x:c r="A374" s="33"/>
      <x:c r="B374" s="32"/>
      <x:c r="C374" s="32"/>
      <x:c r="D374" s="32"/>
      <x:c r="E374" s="32"/>
      <x:c r="F374" s="23" t="str">
        <x:f>IFERROR(VLOOKUP(E374,'Plan kont'!$A$4:$B$35,2,FALSE),"")</x:f>
      </x:c>
      <x:c r="G374" s="40"/>
      <x:c r="H374" s="40"/>
      <x:c r="I374" s="32"/>
      <x:c r="J374" s="32"/>
      <x:c r="K374" s="23" t="str">
        <x:f>IF(B374="","",IF(ABS(SUMIF($B$4:$B$503,B374,$G$4:$G$503)-SUMIF($B$4:$B$503,B374,$H$4:$H$503))&lt;0.01,"OK","NIEZGODNY"))</x:f>
      </x:c>
    </x:row>
    <x:row r="375">
      <x:c r="A375" s="33"/>
      <x:c r="B375" s="32"/>
      <x:c r="C375" s="32"/>
      <x:c r="D375" s="32"/>
      <x:c r="E375" s="32"/>
      <x:c r="F375" s="23" t="str">
        <x:f>IFERROR(VLOOKUP(E375,'Plan kont'!$A$4:$B$35,2,FALSE),"")</x:f>
      </x:c>
      <x:c r="G375" s="40"/>
      <x:c r="H375" s="40"/>
      <x:c r="I375" s="32"/>
      <x:c r="J375" s="32"/>
      <x:c r="K375" s="23" t="str">
        <x:f>IF(B375="","",IF(ABS(SUMIF($B$4:$B$503,B375,$G$4:$G$503)-SUMIF($B$4:$B$503,B375,$H$4:$H$503))&lt;0.01,"OK","NIEZGODNY"))</x:f>
      </x:c>
    </x:row>
    <x:row r="376">
      <x:c r="A376" s="33"/>
      <x:c r="B376" s="32"/>
      <x:c r="C376" s="32"/>
      <x:c r="D376" s="32"/>
      <x:c r="E376" s="32"/>
      <x:c r="F376" s="23" t="str">
        <x:f>IFERROR(VLOOKUP(E376,'Plan kont'!$A$4:$B$35,2,FALSE),"")</x:f>
      </x:c>
      <x:c r="G376" s="40"/>
      <x:c r="H376" s="40"/>
      <x:c r="I376" s="32"/>
      <x:c r="J376" s="32"/>
      <x:c r="K376" s="23" t="str">
        <x:f>IF(B376="","",IF(ABS(SUMIF($B$4:$B$503,B376,$G$4:$G$503)-SUMIF($B$4:$B$503,B376,$H$4:$H$503))&lt;0.01,"OK","NIEZGODNY"))</x:f>
      </x:c>
    </x:row>
    <x:row r="377">
      <x:c r="A377" s="33"/>
      <x:c r="B377" s="32"/>
      <x:c r="C377" s="32"/>
      <x:c r="D377" s="32"/>
      <x:c r="E377" s="32"/>
      <x:c r="F377" s="23" t="str">
        <x:f>IFERROR(VLOOKUP(E377,'Plan kont'!$A$4:$B$35,2,FALSE),"")</x:f>
      </x:c>
      <x:c r="G377" s="40"/>
      <x:c r="H377" s="40"/>
      <x:c r="I377" s="32"/>
      <x:c r="J377" s="32"/>
      <x:c r="K377" s="23" t="str">
        <x:f>IF(B377="","",IF(ABS(SUMIF($B$4:$B$503,B377,$G$4:$G$503)-SUMIF($B$4:$B$503,B377,$H$4:$H$503))&lt;0.01,"OK","NIEZGODNY"))</x:f>
      </x:c>
    </x:row>
    <x:row r="378">
      <x:c r="A378" s="33"/>
      <x:c r="B378" s="32"/>
      <x:c r="C378" s="32"/>
      <x:c r="D378" s="32"/>
      <x:c r="E378" s="32"/>
      <x:c r="F378" s="23" t="str">
        <x:f>IFERROR(VLOOKUP(E378,'Plan kont'!$A$4:$B$35,2,FALSE),"")</x:f>
      </x:c>
      <x:c r="G378" s="40"/>
      <x:c r="H378" s="40"/>
      <x:c r="I378" s="32"/>
      <x:c r="J378" s="32"/>
      <x:c r="K378" s="23" t="str">
        <x:f>IF(B378="","",IF(ABS(SUMIF($B$4:$B$503,B378,$G$4:$G$503)-SUMIF($B$4:$B$503,B378,$H$4:$H$503))&lt;0.01,"OK","NIEZGODNY"))</x:f>
      </x:c>
    </x:row>
    <x:row r="379">
      <x:c r="A379" s="33"/>
      <x:c r="B379" s="32"/>
      <x:c r="C379" s="32"/>
      <x:c r="D379" s="32"/>
      <x:c r="E379" s="32"/>
      <x:c r="F379" s="23" t="str">
        <x:f>IFERROR(VLOOKUP(E379,'Plan kont'!$A$4:$B$35,2,FALSE),"")</x:f>
      </x:c>
      <x:c r="G379" s="40"/>
      <x:c r="H379" s="40"/>
      <x:c r="I379" s="32"/>
      <x:c r="J379" s="32"/>
      <x:c r="K379" s="23" t="str">
        <x:f>IF(B379="","",IF(ABS(SUMIF($B$4:$B$503,B379,$G$4:$G$503)-SUMIF($B$4:$B$503,B379,$H$4:$H$503))&lt;0.01,"OK","NIEZGODNY"))</x:f>
      </x:c>
    </x:row>
    <x:row r="380">
      <x:c r="A380" s="33"/>
      <x:c r="B380" s="32"/>
      <x:c r="C380" s="32"/>
      <x:c r="D380" s="32"/>
      <x:c r="E380" s="32"/>
      <x:c r="F380" s="23" t="str">
        <x:f>IFERROR(VLOOKUP(E380,'Plan kont'!$A$4:$B$35,2,FALSE),"")</x:f>
      </x:c>
      <x:c r="G380" s="40"/>
      <x:c r="H380" s="40"/>
      <x:c r="I380" s="32"/>
      <x:c r="J380" s="32"/>
      <x:c r="K380" s="23" t="str">
        <x:f>IF(B380="","",IF(ABS(SUMIF($B$4:$B$503,B380,$G$4:$G$503)-SUMIF($B$4:$B$503,B380,$H$4:$H$503))&lt;0.01,"OK","NIEZGODNY"))</x:f>
      </x:c>
    </x:row>
    <x:row r="381">
      <x:c r="A381" s="33"/>
      <x:c r="B381" s="32"/>
      <x:c r="C381" s="32"/>
      <x:c r="D381" s="32"/>
      <x:c r="E381" s="32"/>
      <x:c r="F381" s="23" t="str">
        <x:f>IFERROR(VLOOKUP(E381,'Plan kont'!$A$4:$B$35,2,FALSE),"")</x:f>
      </x:c>
      <x:c r="G381" s="40"/>
      <x:c r="H381" s="40"/>
      <x:c r="I381" s="32"/>
      <x:c r="J381" s="32"/>
      <x:c r="K381" s="23" t="str">
        <x:f>IF(B381="","",IF(ABS(SUMIF($B$4:$B$503,B381,$G$4:$G$503)-SUMIF($B$4:$B$503,B381,$H$4:$H$503))&lt;0.01,"OK","NIEZGODNY"))</x:f>
      </x:c>
    </x:row>
    <x:row r="382">
      <x:c r="A382" s="33"/>
      <x:c r="B382" s="32"/>
      <x:c r="C382" s="32"/>
      <x:c r="D382" s="32"/>
      <x:c r="E382" s="32"/>
      <x:c r="F382" s="23" t="str">
        <x:f>IFERROR(VLOOKUP(E382,'Plan kont'!$A$4:$B$35,2,FALSE),"")</x:f>
      </x:c>
      <x:c r="G382" s="40"/>
      <x:c r="H382" s="40"/>
      <x:c r="I382" s="32"/>
      <x:c r="J382" s="32"/>
      <x:c r="K382" s="23" t="str">
        <x:f>IF(B382="","",IF(ABS(SUMIF($B$4:$B$503,B382,$G$4:$G$503)-SUMIF($B$4:$B$503,B382,$H$4:$H$503))&lt;0.01,"OK","NIEZGODNY"))</x:f>
      </x:c>
    </x:row>
    <x:row r="383">
      <x:c r="A383" s="33"/>
      <x:c r="B383" s="32"/>
      <x:c r="C383" s="32"/>
      <x:c r="D383" s="32"/>
      <x:c r="E383" s="32"/>
      <x:c r="F383" s="23" t="str">
        <x:f>IFERROR(VLOOKUP(E383,'Plan kont'!$A$4:$B$35,2,FALSE),"")</x:f>
      </x:c>
      <x:c r="G383" s="40"/>
      <x:c r="H383" s="40"/>
      <x:c r="I383" s="32"/>
      <x:c r="J383" s="32"/>
      <x:c r="K383" s="23" t="str">
        <x:f>IF(B383="","",IF(ABS(SUMIF($B$4:$B$503,B383,$G$4:$G$503)-SUMIF($B$4:$B$503,B383,$H$4:$H$503))&lt;0.01,"OK","NIEZGODNY"))</x:f>
      </x:c>
    </x:row>
    <x:row r="384">
      <x:c r="A384" s="33"/>
      <x:c r="B384" s="32"/>
      <x:c r="C384" s="32"/>
      <x:c r="D384" s="32"/>
      <x:c r="E384" s="32"/>
      <x:c r="F384" s="23" t="str">
        <x:f>IFERROR(VLOOKUP(E384,'Plan kont'!$A$4:$B$35,2,FALSE),"")</x:f>
      </x:c>
      <x:c r="G384" s="40"/>
      <x:c r="H384" s="40"/>
      <x:c r="I384" s="32"/>
      <x:c r="J384" s="32"/>
      <x:c r="K384" s="23" t="str">
        <x:f>IF(B384="","",IF(ABS(SUMIF($B$4:$B$503,B384,$G$4:$G$503)-SUMIF($B$4:$B$503,B384,$H$4:$H$503))&lt;0.01,"OK","NIEZGODNY"))</x:f>
      </x:c>
    </x:row>
    <x:row r="385">
      <x:c r="A385" s="33"/>
      <x:c r="B385" s="32"/>
      <x:c r="C385" s="32"/>
      <x:c r="D385" s="32"/>
      <x:c r="E385" s="32"/>
      <x:c r="F385" s="23" t="str">
        <x:f>IFERROR(VLOOKUP(E385,'Plan kont'!$A$4:$B$35,2,FALSE),"")</x:f>
      </x:c>
      <x:c r="G385" s="40"/>
      <x:c r="H385" s="40"/>
      <x:c r="I385" s="32"/>
      <x:c r="J385" s="32"/>
      <x:c r="K385" s="23" t="str">
        <x:f>IF(B385="","",IF(ABS(SUMIF($B$4:$B$503,B385,$G$4:$G$503)-SUMIF($B$4:$B$503,B385,$H$4:$H$503))&lt;0.01,"OK","NIEZGODNY"))</x:f>
      </x:c>
    </x:row>
    <x:row r="386">
      <x:c r="A386" s="33"/>
      <x:c r="B386" s="32"/>
      <x:c r="C386" s="32"/>
      <x:c r="D386" s="32"/>
      <x:c r="E386" s="32"/>
      <x:c r="F386" s="23" t="str">
        <x:f>IFERROR(VLOOKUP(E386,'Plan kont'!$A$4:$B$35,2,FALSE),"")</x:f>
      </x:c>
      <x:c r="G386" s="40"/>
      <x:c r="H386" s="40"/>
      <x:c r="I386" s="32"/>
      <x:c r="J386" s="32"/>
      <x:c r="K386" s="23" t="str">
        <x:f>IF(B386="","",IF(ABS(SUMIF($B$4:$B$503,B386,$G$4:$G$503)-SUMIF($B$4:$B$503,B386,$H$4:$H$503))&lt;0.01,"OK","NIEZGODNY"))</x:f>
      </x:c>
    </x:row>
    <x:row r="387">
      <x:c r="A387" s="33"/>
      <x:c r="B387" s="32"/>
      <x:c r="C387" s="32"/>
      <x:c r="D387" s="32"/>
      <x:c r="E387" s="32"/>
      <x:c r="F387" s="23" t="str">
        <x:f>IFERROR(VLOOKUP(E387,'Plan kont'!$A$4:$B$35,2,FALSE),"")</x:f>
      </x:c>
      <x:c r="G387" s="40"/>
      <x:c r="H387" s="40"/>
      <x:c r="I387" s="32"/>
      <x:c r="J387" s="32"/>
      <x:c r="K387" s="23" t="str">
        <x:f>IF(B387="","",IF(ABS(SUMIF($B$4:$B$503,B387,$G$4:$G$503)-SUMIF($B$4:$B$503,B387,$H$4:$H$503))&lt;0.01,"OK","NIEZGODNY"))</x:f>
      </x:c>
    </x:row>
    <x:row r="388">
      <x:c r="A388" s="33"/>
      <x:c r="B388" s="32"/>
      <x:c r="C388" s="32"/>
      <x:c r="D388" s="32"/>
      <x:c r="E388" s="32"/>
      <x:c r="F388" s="23" t="str">
        <x:f>IFERROR(VLOOKUP(E388,'Plan kont'!$A$4:$B$35,2,FALSE),"")</x:f>
      </x:c>
      <x:c r="G388" s="40"/>
      <x:c r="H388" s="40"/>
      <x:c r="I388" s="32"/>
      <x:c r="J388" s="32"/>
      <x:c r="K388" s="23" t="str">
        <x:f>IF(B388="","",IF(ABS(SUMIF($B$4:$B$503,B388,$G$4:$G$503)-SUMIF($B$4:$B$503,B388,$H$4:$H$503))&lt;0.01,"OK","NIEZGODNY"))</x:f>
      </x:c>
    </x:row>
    <x:row r="389">
      <x:c r="A389" s="33"/>
      <x:c r="B389" s="32"/>
      <x:c r="C389" s="32"/>
      <x:c r="D389" s="32"/>
      <x:c r="E389" s="32"/>
      <x:c r="F389" s="23" t="str">
        <x:f>IFERROR(VLOOKUP(E389,'Plan kont'!$A$4:$B$35,2,FALSE),"")</x:f>
      </x:c>
      <x:c r="G389" s="40"/>
      <x:c r="H389" s="40"/>
      <x:c r="I389" s="32"/>
      <x:c r="J389" s="32"/>
      <x:c r="K389" s="23" t="str">
        <x:f>IF(B389="","",IF(ABS(SUMIF($B$4:$B$503,B389,$G$4:$G$503)-SUMIF($B$4:$B$503,B389,$H$4:$H$503))&lt;0.01,"OK","NIEZGODNY"))</x:f>
      </x:c>
    </x:row>
    <x:row r="390">
      <x:c r="A390" s="33"/>
      <x:c r="B390" s="32"/>
      <x:c r="C390" s="32"/>
      <x:c r="D390" s="32"/>
      <x:c r="E390" s="32"/>
      <x:c r="F390" s="23" t="str">
        <x:f>IFERROR(VLOOKUP(E390,'Plan kont'!$A$4:$B$35,2,FALSE),"")</x:f>
      </x:c>
      <x:c r="G390" s="40"/>
      <x:c r="H390" s="40"/>
      <x:c r="I390" s="32"/>
      <x:c r="J390" s="32"/>
      <x:c r="K390" s="23" t="str">
        <x:f>IF(B390="","",IF(ABS(SUMIF($B$4:$B$503,B390,$G$4:$G$503)-SUMIF($B$4:$B$503,B390,$H$4:$H$503))&lt;0.01,"OK","NIEZGODNY"))</x:f>
      </x:c>
    </x:row>
    <x:row r="391">
      <x:c r="A391" s="33"/>
      <x:c r="B391" s="32"/>
      <x:c r="C391" s="32"/>
      <x:c r="D391" s="32"/>
      <x:c r="E391" s="32"/>
      <x:c r="F391" s="23" t="str">
        <x:f>IFERROR(VLOOKUP(E391,'Plan kont'!$A$4:$B$35,2,FALSE),"")</x:f>
      </x:c>
      <x:c r="G391" s="40"/>
      <x:c r="H391" s="40"/>
      <x:c r="I391" s="32"/>
      <x:c r="J391" s="32"/>
      <x:c r="K391" s="23" t="str">
        <x:f>IF(B391="","",IF(ABS(SUMIF($B$4:$B$503,B391,$G$4:$G$503)-SUMIF($B$4:$B$503,B391,$H$4:$H$503))&lt;0.01,"OK","NIEZGODNY"))</x:f>
      </x:c>
    </x:row>
    <x:row r="392">
      <x:c r="A392" s="33"/>
      <x:c r="B392" s="32"/>
      <x:c r="C392" s="32"/>
      <x:c r="D392" s="32"/>
      <x:c r="E392" s="32"/>
      <x:c r="F392" s="23" t="str">
        <x:f>IFERROR(VLOOKUP(E392,'Plan kont'!$A$4:$B$35,2,FALSE),"")</x:f>
      </x:c>
      <x:c r="G392" s="40"/>
      <x:c r="H392" s="40"/>
      <x:c r="I392" s="32"/>
      <x:c r="J392" s="32"/>
      <x:c r="K392" s="23" t="str">
        <x:f>IF(B392="","",IF(ABS(SUMIF($B$4:$B$503,B392,$G$4:$G$503)-SUMIF($B$4:$B$503,B392,$H$4:$H$503))&lt;0.01,"OK","NIEZGODNY"))</x:f>
      </x:c>
    </x:row>
    <x:row r="393">
      <x:c r="A393" s="33"/>
      <x:c r="B393" s="32"/>
      <x:c r="C393" s="32"/>
      <x:c r="D393" s="32"/>
      <x:c r="E393" s="32"/>
      <x:c r="F393" s="23" t="str">
        <x:f>IFERROR(VLOOKUP(E393,'Plan kont'!$A$4:$B$35,2,FALSE),"")</x:f>
      </x:c>
      <x:c r="G393" s="40"/>
      <x:c r="H393" s="40"/>
      <x:c r="I393" s="32"/>
      <x:c r="J393" s="32"/>
      <x:c r="K393" s="23" t="str">
        <x:f>IF(B393="","",IF(ABS(SUMIF($B$4:$B$503,B393,$G$4:$G$503)-SUMIF($B$4:$B$503,B393,$H$4:$H$503))&lt;0.01,"OK","NIEZGODNY"))</x:f>
      </x:c>
    </x:row>
    <x:row r="394">
      <x:c r="A394" s="33"/>
      <x:c r="B394" s="32"/>
      <x:c r="C394" s="32"/>
      <x:c r="D394" s="32"/>
      <x:c r="E394" s="32"/>
      <x:c r="F394" s="23" t="str">
        <x:f>IFERROR(VLOOKUP(E394,'Plan kont'!$A$4:$B$35,2,FALSE),"")</x:f>
      </x:c>
      <x:c r="G394" s="40"/>
      <x:c r="H394" s="40"/>
      <x:c r="I394" s="32"/>
      <x:c r="J394" s="32"/>
      <x:c r="K394" s="23" t="str">
        <x:f>IF(B394="","",IF(ABS(SUMIF($B$4:$B$503,B394,$G$4:$G$503)-SUMIF($B$4:$B$503,B394,$H$4:$H$503))&lt;0.01,"OK","NIEZGODNY"))</x:f>
      </x:c>
    </x:row>
    <x:row r="395">
      <x:c r="A395" s="33"/>
      <x:c r="B395" s="32"/>
      <x:c r="C395" s="32"/>
      <x:c r="D395" s="32"/>
      <x:c r="E395" s="32"/>
      <x:c r="F395" s="23" t="str">
        <x:f>IFERROR(VLOOKUP(E395,'Plan kont'!$A$4:$B$35,2,FALSE),"")</x:f>
      </x:c>
      <x:c r="G395" s="40"/>
      <x:c r="H395" s="40"/>
      <x:c r="I395" s="32"/>
      <x:c r="J395" s="32"/>
      <x:c r="K395" s="23" t="str">
        <x:f>IF(B395="","",IF(ABS(SUMIF($B$4:$B$503,B395,$G$4:$G$503)-SUMIF($B$4:$B$503,B395,$H$4:$H$503))&lt;0.01,"OK","NIEZGODNY"))</x:f>
      </x:c>
    </x:row>
    <x:row r="396">
      <x:c r="A396" s="33"/>
      <x:c r="B396" s="32"/>
      <x:c r="C396" s="32"/>
      <x:c r="D396" s="32"/>
      <x:c r="E396" s="32"/>
      <x:c r="F396" s="23" t="str">
        <x:f>IFERROR(VLOOKUP(E396,'Plan kont'!$A$4:$B$35,2,FALSE),"")</x:f>
      </x:c>
      <x:c r="G396" s="40"/>
      <x:c r="H396" s="40"/>
      <x:c r="I396" s="32"/>
      <x:c r="J396" s="32"/>
      <x:c r="K396" s="23" t="str">
        <x:f>IF(B396="","",IF(ABS(SUMIF($B$4:$B$503,B396,$G$4:$G$503)-SUMIF($B$4:$B$503,B396,$H$4:$H$503))&lt;0.01,"OK","NIEZGODNY"))</x:f>
      </x:c>
    </x:row>
    <x:row r="397">
      <x:c r="A397" s="33"/>
      <x:c r="B397" s="32"/>
      <x:c r="C397" s="32"/>
      <x:c r="D397" s="32"/>
      <x:c r="E397" s="32"/>
      <x:c r="F397" s="23" t="str">
        <x:f>IFERROR(VLOOKUP(E397,'Plan kont'!$A$4:$B$35,2,FALSE),"")</x:f>
      </x:c>
      <x:c r="G397" s="40"/>
      <x:c r="H397" s="40"/>
      <x:c r="I397" s="32"/>
      <x:c r="J397" s="32"/>
      <x:c r="K397" s="23" t="str">
        <x:f>IF(B397="","",IF(ABS(SUMIF($B$4:$B$503,B397,$G$4:$G$503)-SUMIF($B$4:$B$503,B397,$H$4:$H$503))&lt;0.01,"OK","NIEZGODNY"))</x:f>
      </x:c>
    </x:row>
    <x:row r="398">
      <x:c r="A398" s="33"/>
      <x:c r="B398" s="32"/>
      <x:c r="C398" s="32"/>
      <x:c r="D398" s="32"/>
      <x:c r="E398" s="32"/>
      <x:c r="F398" s="23" t="str">
        <x:f>IFERROR(VLOOKUP(E398,'Plan kont'!$A$4:$B$35,2,FALSE),"")</x:f>
      </x:c>
      <x:c r="G398" s="40"/>
      <x:c r="H398" s="40"/>
      <x:c r="I398" s="32"/>
      <x:c r="J398" s="32"/>
      <x:c r="K398" s="23" t="str">
        <x:f>IF(B398="","",IF(ABS(SUMIF($B$4:$B$503,B398,$G$4:$G$503)-SUMIF($B$4:$B$503,B398,$H$4:$H$503))&lt;0.01,"OK","NIEZGODNY"))</x:f>
      </x:c>
    </x:row>
    <x:row r="399">
      <x:c r="A399" s="33"/>
      <x:c r="B399" s="32"/>
      <x:c r="C399" s="32"/>
      <x:c r="D399" s="32"/>
      <x:c r="E399" s="32"/>
      <x:c r="F399" s="23" t="str">
        <x:f>IFERROR(VLOOKUP(E399,'Plan kont'!$A$4:$B$35,2,FALSE),"")</x:f>
      </x:c>
      <x:c r="G399" s="40"/>
      <x:c r="H399" s="40"/>
      <x:c r="I399" s="32"/>
      <x:c r="J399" s="32"/>
      <x:c r="K399" s="23" t="str">
        <x:f>IF(B399="","",IF(ABS(SUMIF($B$4:$B$503,B399,$G$4:$G$503)-SUMIF($B$4:$B$503,B399,$H$4:$H$503))&lt;0.01,"OK","NIEZGODNY"))</x:f>
      </x:c>
    </x:row>
    <x:row r="400">
      <x:c r="A400" s="33"/>
      <x:c r="B400" s="32"/>
      <x:c r="C400" s="32"/>
      <x:c r="D400" s="32"/>
      <x:c r="E400" s="32"/>
      <x:c r="F400" s="23" t="str">
        <x:f>IFERROR(VLOOKUP(E400,'Plan kont'!$A$4:$B$35,2,FALSE),"")</x:f>
      </x:c>
      <x:c r="G400" s="40"/>
      <x:c r="H400" s="40"/>
      <x:c r="I400" s="32"/>
      <x:c r="J400" s="32"/>
      <x:c r="K400" s="23" t="str">
        <x:f>IF(B400="","",IF(ABS(SUMIF($B$4:$B$503,B400,$G$4:$G$503)-SUMIF($B$4:$B$503,B400,$H$4:$H$503))&lt;0.01,"OK","NIEZGODNY"))</x:f>
      </x:c>
    </x:row>
    <x:row r="401">
      <x:c r="A401" s="33"/>
      <x:c r="B401" s="32"/>
      <x:c r="C401" s="32"/>
      <x:c r="D401" s="32"/>
      <x:c r="E401" s="32"/>
      <x:c r="F401" s="23" t="str">
        <x:f>IFERROR(VLOOKUP(E401,'Plan kont'!$A$4:$B$35,2,FALSE),"")</x:f>
      </x:c>
      <x:c r="G401" s="40"/>
      <x:c r="H401" s="40"/>
      <x:c r="I401" s="32"/>
      <x:c r="J401" s="32"/>
      <x:c r="K401" s="23" t="str">
        <x:f>IF(B401="","",IF(ABS(SUMIF($B$4:$B$503,B401,$G$4:$G$503)-SUMIF($B$4:$B$503,B401,$H$4:$H$503))&lt;0.01,"OK","NIEZGODNY"))</x:f>
      </x:c>
    </x:row>
    <x:row r="402">
      <x:c r="A402" s="33"/>
      <x:c r="B402" s="32"/>
      <x:c r="C402" s="32"/>
      <x:c r="D402" s="32"/>
      <x:c r="E402" s="32"/>
      <x:c r="F402" s="23" t="str">
        <x:f>IFERROR(VLOOKUP(E402,'Plan kont'!$A$4:$B$35,2,FALSE),"")</x:f>
      </x:c>
      <x:c r="G402" s="40"/>
      <x:c r="H402" s="40"/>
      <x:c r="I402" s="32"/>
      <x:c r="J402" s="32"/>
      <x:c r="K402" s="23" t="str">
        <x:f>IF(B402="","",IF(ABS(SUMIF($B$4:$B$503,B402,$G$4:$G$503)-SUMIF($B$4:$B$503,B402,$H$4:$H$503))&lt;0.01,"OK","NIEZGODNY"))</x:f>
      </x:c>
    </x:row>
    <x:row r="403">
      <x:c r="A403" s="33"/>
      <x:c r="B403" s="32"/>
      <x:c r="C403" s="32"/>
      <x:c r="D403" s="32"/>
      <x:c r="E403" s="32"/>
      <x:c r="F403" s="23" t="str">
        <x:f>IFERROR(VLOOKUP(E403,'Plan kont'!$A$4:$B$35,2,FALSE),"")</x:f>
      </x:c>
      <x:c r="G403" s="40"/>
      <x:c r="H403" s="40"/>
      <x:c r="I403" s="32"/>
      <x:c r="J403" s="32"/>
      <x:c r="K403" s="23" t="str">
        <x:f>IF(B403="","",IF(ABS(SUMIF($B$4:$B$503,B403,$G$4:$G$503)-SUMIF($B$4:$B$503,B403,$H$4:$H$503))&lt;0.01,"OK","NIEZGODNY"))</x:f>
      </x:c>
    </x:row>
    <x:row r="404">
      <x:c r="A404" s="33"/>
      <x:c r="B404" s="32"/>
      <x:c r="C404" s="32"/>
      <x:c r="D404" s="32"/>
      <x:c r="E404" s="32"/>
      <x:c r="F404" s="23" t="str">
        <x:f>IFERROR(VLOOKUP(E404,'Plan kont'!$A$4:$B$35,2,FALSE),"")</x:f>
      </x:c>
      <x:c r="G404" s="40"/>
      <x:c r="H404" s="40"/>
      <x:c r="I404" s="32"/>
      <x:c r="J404" s="32"/>
      <x:c r="K404" s="23" t="str">
        <x:f>IF(B404="","",IF(ABS(SUMIF($B$4:$B$503,B404,$G$4:$G$503)-SUMIF($B$4:$B$503,B404,$H$4:$H$503))&lt;0.01,"OK","NIEZGODNY"))</x:f>
      </x:c>
    </x:row>
    <x:row r="405">
      <x:c r="A405" s="33"/>
      <x:c r="B405" s="32"/>
      <x:c r="C405" s="32"/>
      <x:c r="D405" s="32"/>
      <x:c r="E405" s="32"/>
      <x:c r="F405" s="23" t="str">
        <x:f>IFERROR(VLOOKUP(E405,'Plan kont'!$A$4:$B$35,2,FALSE),"")</x:f>
      </x:c>
      <x:c r="G405" s="40"/>
      <x:c r="H405" s="40"/>
      <x:c r="I405" s="32"/>
      <x:c r="J405" s="32"/>
      <x:c r="K405" s="23" t="str">
        <x:f>IF(B405="","",IF(ABS(SUMIF($B$4:$B$503,B405,$G$4:$G$503)-SUMIF($B$4:$B$503,B405,$H$4:$H$503))&lt;0.01,"OK","NIEZGODNY"))</x:f>
      </x:c>
    </x:row>
    <x:row r="406">
      <x:c r="A406" s="33"/>
      <x:c r="B406" s="32"/>
      <x:c r="C406" s="32"/>
      <x:c r="D406" s="32"/>
      <x:c r="E406" s="32"/>
      <x:c r="F406" s="23" t="str">
        <x:f>IFERROR(VLOOKUP(E406,'Plan kont'!$A$4:$B$35,2,FALSE),"")</x:f>
      </x:c>
      <x:c r="G406" s="40"/>
      <x:c r="H406" s="40"/>
      <x:c r="I406" s="32"/>
      <x:c r="J406" s="32"/>
      <x:c r="K406" s="23" t="str">
        <x:f>IF(B406="","",IF(ABS(SUMIF($B$4:$B$503,B406,$G$4:$G$503)-SUMIF($B$4:$B$503,B406,$H$4:$H$503))&lt;0.01,"OK","NIEZGODNY"))</x:f>
      </x:c>
    </x:row>
    <x:row r="407">
      <x:c r="A407" s="33"/>
      <x:c r="B407" s="32"/>
      <x:c r="C407" s="32"/>
      <x:c r="D407" s="32"/>
      <x:c r="E407" s="32"/>
      <x:c r="F407" s="23" t="str">
        <x:f>IFERROR(VLOOKUP(E407,'Plan kont'!$A$4:$B$35,2,FALSE),"")</x:f>
      </x:c>
      <x:c r="G407" s="40"/>
      <x:c r="H407" s="40"/>
      <x:c r="I407" s="32"/>
      <x:c r="J407" s="32"/>
      <x:c r="K407" s="23" t="str">
        <x:f>IF(B407="","",IF(ABS(SUMIF($B$4:$B$503,B407,$G$4:$G$503)-SUMIF($B$4:$B$503,B407,$H$4:$H$503))&lt;0.01,"OK","NIEZGODNY"))</x:f>
      </x:c>
    </x:row>
    <x:row r="408">
      <x:c r="A408" s="33"/>
      <x:c r="B408" s="32"/>
      <x:c r="C408" s="32"/>
      <x:c r="D408" s="32"/>
      <x:c r="E408" s="32"/>
      <x:c r="F408" s="23" t="str">
        <x:f>IFERROR(VLOOKUP(E408,'Plan kont'!$A$4:$B$35,2,FALSE),"")</x:f>
      </x:c>
      <x:c r="G408" s="40"/>
      <x:c r="H408" s="40"/>
      <x:c r="I408" s="32"/>
      <x:c r="J408" s="32"/>
      <x:c r="K408" s="23" t="str">
        <x:f>IF(B408="","",IF(ABS(SUMIF($B$4:$B$503,B408,$G$4:$G$503)-SUMIF($B$4:$B$503,B408,$H$4:$H$503))&lt;0.01,"OK","NIEZGODNY"))</x:f>
      </x:c>
    </x:row>
    <x:row r="409">
      <x:c r="A409" s="33"/>
      <x:c r="B409" s="32"/>
      <x:c r="C409" s="32"/>
      <x:c r="D409" s="32"/>
      <x:c r="E409" s="32"/>
      <x:c r="F409" s="23" t="str">
        <x:f>IFERROR(VLOOKUP(E409,'Plan kont'!$A$4:$B$35,2,FALSE),"")</x:f>
      </x:c>
      <x:c r="G409" s="40"/>
      <x:c r="H409" s="40"/>
      <x:c r="I409" s="32"/>
      <x:c r="J409" s="32"/>
      <x:c r="K409" s="23" t="str">
        <x:f>IF(B409="","",IF(ABS(SUMIF($B$4:$B$503,B409,$G$4:$G$503)-SUMIF($B$4:$B$503,B409,$H$4:$H$503))&lt;0.01,"OK","NIEZGODNY"))</x:f>
      </x:c>
    </x:row>
    <x:row r="410">
      <x:c r="A410" s="33"/>
      <x:c r="B410" s="32"/>
      <x:c r="C410" s="32"/>
      <x:c r="D410" s="32"/>
      <x:c r="E410" s="32"/>
      <x:c r="F410" s="23" t="str">
        <x:f>IFERROR(VLOOKUP(E410,'Plan kont'!$A$4:$B$35,2,FALSE),"")</x:f>
      </x:c>
      <x:c r="G410" s="40"/>
      <x:c r="H410" s="40"/>
      <x:c r="I410" s="32"/>
      <x:c r="J410" s="32"/>
      <x:c r="K410" s="23" t="str">
        <x:f>IF(B410="","",IF(ABS(SUMIF($B$4:$B$503,B410,$G$4:$G$503)-SUMIF($B$4:$B$503,B410,$H$4:$H$503))&lt;0.01,"OK","NIEZGODNY"))</x:f>
      </x:c>
    </x:row>
    <x:row r="411">
      <x:c r="A411" s="33"/>
      <x:c r="B411" s="32"/>
      <x:c r="C411" s="32"/>
      <x:c r="D411" s="32"/>
      <x:c r="E411" s="32"/>
      <x:c r="F411" s="23" t="str">
        <x:f>IFERROR(VLOOKUP(E411,'Plan kont'!$A$4:$B$35,2,FALSE),"")</x:f>
      </x:c>
      <x:c r="G411" s="40"/>
      <x:c r="H411" s="40"/>
      <x:c r="I411" s="32"/>
      <x:c r="J411" s="32"/>
      <x:c r="K411" s="23" t="str">
        <x:f>IF(B411="","",IF(ABS(SUMIF($B$4:$B$503,B411,$G$4:$G$503)-SUMIF($B$4:$B$503,B411,$H$4:$H$503))&lt;0.01,"OK","NIEZGODNY"))</x:f>
      </x:c>
    </x:row>
    <x:row r="412">
      <x:c r="A412" s="33"/>
      <x:c r="B412" s="32"/>
      <x:c r="C412" s="32"/>
      <x:c r="D412" s="32"/>
      <x:c r="E412" s="32"/>
      <x:c r="F412" s="23" t="str">
        <x:f>IFERROR(VLOOKUP(E412,'Plan kont'!$A$4:$B$35,2,FALSE),"")</x:f>
      </x:c>
      <x:c r="G412" s="40"/>
      <x:c r="H412" s="40"/>
      <x:c r="I412" s="32"/>
      <x:c r="J412" s="32"/>
      <x:c r="K412" s="23" t="str">
        <x:f>IF(B412="","",IF(ABS(SUMIF($B$4:$B$503,B412,$G$4:$G$503)-SUMIF($B$4:$B$503,B412,$H$4:$H$503))&lt;0.01,"OK","NIEZGODNY"))</x:f>
      </x:c>
    </x:row>
    <x:row r="413">
      <x:c r="A413" s="33"/>
      <x:c r="B413" s="32"/>
      <x:c r="C413" s="32"/>
      <x:c r="D413" s="32"/>
      <x:c r="E413" s="32"/>
      <x:c r="F413" s="23" t="str">
        <x:f>IFERROR(VLOOKUP(E413,'Plan kont'!$A$4:$B$35,2,FALSE),"")</x:f>
      </x:c>
      <x:c r="G413" s="40"/>
      <x:c r="H413" s="40"/>
      <x:c r="I413" s="32"/>
      <x:c r="J413" s="32"/>
      <x:c r="K413" s="23" t="str">
        <x:f>IF(B413="","",IF(ABS(SUMIF($B$4:$B$503,B413,$G$4:$G$503)-SUMIF($B$4:$B$503,B413,$H$4:$H$503))&lt;0.01,"OK","NIEZGODNY"))</x:f>
      </x:c>
    </x:row>
    <x:row r="414">
      <x:c r="A414" s="33"/>
      <x:c r="B414" s="32"/>
      <x:c r="C414" s="32"/>
      <x:c r="D414" s="32"/>
      <x:c r="E414" s="32"/>
      <x:c r="F414" s="23" t="str">
        <x:f>IFERROR(VLOOKUP(E414,'Plan kont'!$A$4:$B$35,2,FALSE),"")</x:f>
      </x:c>
      <x:c r="G414" s="40"/>
      <x:c r="H414" s="40"/>
      <x:c r="I414" s="32"/>
      <x:c r="J414" s="32"/>
      <x:c r="K414" s="23" t="str">
        <x:f>IF(B414="","",IF(ABS(SUMIF($B$4:$B$503,B414,$G$4:$G$503)-SUMIF($B$4:$B$503,B414,$H$4:$H$503))&lt;0.01,"OK","NIEZGODNY"))</x:f>
      </x:c>
    </x:row>
    <x:row r="415">
      <x:c r="A415" s="33"/>
      <x:c r="B415" s="32"/>
      <x:c r="C415" s="32"/>
      <x:c r="D415" s="32"/>
      <x:c r="E415" s="32"/>
      <x:c r="F415" s="23" t="str">
        <x:f>IFERROR(VLOOKUP(E415,'Plan kont'!$A$4:$B$35,2,FALSE),"")</x:f>
      </x:c>
      <x:c r="G415" s="40"/>
      <x:c r="H415" s="40"/>
      <x:c r="I415" s="32"/>
      <x:c r="J415" s="32"/>
      <x:c r="K415" s="23" t="str">
        <x:f>IF(B415="","",IF(ABS(SUMIF($B$4:$B$503,B415,$G$4:$G$503)-SUMIF($B$4:$B$503,B415,$H$4:$H$503))&lt;0.01,"OK","NIEZGODNY"))</x:f>
      </x:c>
    </x:row>
    <x:row r="416">
      <x:c r="A416" s="33"/>
      <x:c r="B416" s="32"/>
      <x:c r="C416" s="32"/>
      <x:c r="D416" s="32"/>
      <x:c r="E416" s="32"/>
      <x:c r="F416" s="23" t="str">
        <x:f>IFERROR(VLOOKUP(E416,'Plan kont'!$A$4:$B$35,2,FALSE),"")</x:f>
      </x:c>
      <x:c r="G416" s="40"/>
      <x:c r="H416" s="40"/>
      <x:c r="I416" s="32"/>
      <x:c r="J416" s="32"/>
      <x:c r="K416" s="23" t="str">
        <x:f>IF(B416="","",IF(ABS(SUMIF($B$4:$B$503,B416,$G$4:$G$503)-SUMIF($B$4:$B$503,B416,$H$4:$H$503))&lt;0.01,"OK","NIEZGODNY"))</x:f>
      </x:c>
    </x:row>
    <x:row r="417">
      <x:c r="A417" s="33"/>
      <x:c r="B417" s="32"/>
      <x:c r="C417" s="32"/>
      <x:c r="D417" s="32"/>
      <x:c r="E417" s="32"/>
      <x:c r="F417" s="23" t="str">
        <x:f>IFERROR(VLOOKUP(E417,'Plan kont'!$A$4:$B$35,2,FALSE),"")</x:f>
      </x:c>
      <x:c r="G417" s="40"/>
      <x:c r="H417" s="40"/>
      <x:c r="I417" s="32"/>
      <x:c r="J417" s="32"/>
      <x:c r="K417" s="23" t="str">
        <x:f>IF(B417="","",IF(ABS(SUMIF($B$4:$B$503,B417,$G$4:$G$503)-SUMIF($B$4:$B$503,B417,$H$4:$H$503))&lt;0.01,"OK","NIEZGODNY"))</x:f>
      </x:c>
    </x:row>
    <x:row r="418">
      <x:c r="A418" s="33"/>
      <x:c r="B418" s="32"/>
      <x:c r="C418" s="32"/>
      <x:c r="D418" s="32"/>
      <x:c r="E418" s="32"/>
      <x:c r="F418" s="23" t="str">
        <x:f>IFERROR(VLOOKUP(E418,'Plan kont'!$A$4:$B$35,2,FALSE),"")</x:f>
      </x:c>
      <x:c r="G418" s="40"/>
      <x:c r="H418" s="40"/>
      <x:c r="I418" s="32"/>
      <x:c r="J418" s="32"/>
      <x:c r="K418" s="23" t="str">
        <x:f>IF(B418="","",IF(ABS(SUMIF($B$4:$B$503,B418,$G$4:$G$503)-SUMIF($B$4:$B$503,B418,$H$4:$H$503))&lt;0.01,"OK","NIEZGODNY"))</x:f>
      </x:c>
    </x:row>
    <x:row r="419">
      <x:c r="A419" s="33"/>
      <x:c r="B419" s="32"/>
      <x:c r="C419" s="32"/>
      <x:c r="D419" s="32"/>
      <x:c r="E419" s="32"/>
      <x:c r="F419" s="23" t="str">
        <x:f>IFERROR(VLOOKUP(E419,'Plan kont'!$A$4:$B$35,2,FALSE),"")</x:f>
      </x:c>
      <x:c r="G419" s="40"/>
      <x:c r="H419" s="40"/>
      <x:c r="I419" s="32"/>
      <x:c r="J419" s="32"/>
      <x:c r="K419" s="23" t="str">
        <x:f>IF(B419="","",IF(ABS(SUMIF($B$4:$B$503,B419,$G$4:$G$503)-SUMIF($B$4:$B$503,B419,$H$4:$H$503))&lt;0.01,"OK","NIEZGODNY"))</x:f>
      </x:c>
    </x:row>
    <x:row r="420">
      <x:c r="A420" s="33"/>
      <x:c r="B420" s="32"/>
      <x:c r="C420" s="32"/>
      <x:c r="D420" s="32"/>
      <x:c r="E420" s="32"/>
      <x:c r="F420" s="23" t="str">
        <x:f>IFERROR(VLOOKUP(E420,'Plan kont'!$A$4:$B$35,2,FALSE),"")</x:f>
      </x:c>
      <x:c r="G420" s="40"/>
      <x:c r="H420" s="40"/>
      <x:c r="I420" s="32"/>
      <x:c r="J420" s="32"/>
      <x:c r="K420" s="23" t="str">
        <x:f>IF(B420="","",IF(ABS(SUMIF($B$4:$B$503,B420,$G$4:$G$503)-SUMIF($B$4:$B$503,B420,$H$4:$H$503))&lt;0.01,"OK","NIEZGODNY"))</x:f>
      </x:c>
    </x:row>
    <x:row r="421">
      <x:c r="A421" s="33"/>
      <x:c r="B421" s="32"/>
      <x:c r="C421" s="32"/>
      <x:c r="D421" s="32"/>
      <x:c r="E421" s="32"/>
      <x:c r="F421" s="23" t="str">
        <x:f>IFERROR(VLOOKUP(E421,'Plan kont'!$A$4:$B$35,2,FALSE),"")</x:f>
      </x:c>
      <x:c r="G421" s="40"/>
      <x:c r="H421" s="40"/>
      <x:c r="I421" s="32"/>
      <x:c r="J421" s="32"/>
      <x:c r="K421" s="23" t="str">
        <x:f>IF(B421="","",IF(ABS(SUMIF($B$4:$B$503,B421,$G$4:$G$503)-SUMIF($B$4:$B$503,B421,$H$4:$H$503))&lt;0.01,"OK","NIEZGODNY"))</x:f>
      </x:c>
    </x:row>
    <x:row r="422">
      <x:c r="A422" s="33"/>
      <x:c r="B422" s="32"/>
      <x:c r="C422" s="32"/>
      <x:c r="D422" s="32"/>
      <x:c r="E422" s="32"/>
      <x:c r="F422" s="23" t="str">
        <x:f>IFERROR(VLOOKUP(E422,'Plan kont'!$A$4:$B$35,2,FALSE),"")</x:f>
      </x:c>
      <x:c r="G422" s="40"/>
      <x:c r="H422" s="40"/>
      <x:c r="I422" s="32"/>
      <x:c r="J422" s="32"/>
      <x:c r="K422" s="23" t="str">
        <x:f>IF(B422="","",IF(ABS(SUMIF($B$4:$B$503,B422,$G$4:$G$503)-SUMIF($B$4:$B$503,B422,$H$4:$H$503))&lt;0.01,"OK","NIEZGODNY"))</x:f>
      </x:c>
    </x:row>
    <x:row r="423">
      <x:c r="A423" s="33"/>
      <x:c r="B423" s="32"/>
      <x:c r="C423" s="32"/>
      <x:c r="D423" s="32"/>
      <x:c r="E423" s="32"/>
      <x:c r="F423" s="23" t="str">
        <x:f>IFERROR(VLOOKUP(E423,'Plan kont'!$A$4:$B$35,2,FALSE),"")</x:f>
      </x:c>
      <x:c r="G423" s="40"/>
      <x:c r="H423" s="40"/>
      <x:c r="I423" s="32"/>
      <x:c r="J423" s="32"/>
      <x:c r="K423" s="23" t="str">
        <x:f>IF(B423="","",IF(ABS(SUMIF($B$4:$B$503,B423,$G$4:$G$503)-SUMIF($B$4:$B$503,B423,$H$4:$H$503))&lt;0.01,"OK","NIEZGODNY"))</x:f>
      </x:c>
    </x:row>
    <x:row r="424">
      <x:c r="A424" s="33"/>
      <x:c r="B424" s="32"/>
      <x:c r="C424" s="32"/>
      <x:c r="D424" s="32"/>
      <x:c r="E424" s="32"/>
      <x:c r="F424" s="23" t="str">
        <x:f>IFERROR(VLOOKUP(E424,'Plan kont'!$A$4:$B$35,2,FALSE),"")</x:f>
      </x:c>
      <x:c r="G424" s="40"/>
      <x:c r="H424" s="40"/>
      <x:c r="I424" s="32"/>
      <x:c r="J424" s="32"/>
      <x:c r="K424" s="23" t="str">
        <x:f>IF(B424="","",IF(ABS(SUMIF($B$4:$B$503,B424,$G$4:$G$503)-SUMIF($B$4:$B$503,B424,$H$4:$H$503))&lt;0.01,"OK","NIEZGODNY"))</x:f>
      </x:c>
    </x:row>
    <x:row r="425">
      <x:c r="A425" s="33"/>
      <x:c r="B425" s="32"/>
      <x:c r="C425" s="32"/>
      <x:c r="D425" s="32"/>
      <x:c r="E425" s="32"/>
      <x:c r="F425" s="23" t="str">
        <x:f>IFERROR(VLOOKUP(E425,'Plan kont'!$A$4:$B$35,2,FALSE),"")</x:f>
      </x:c>
      <x:c r="G425" s="40"/>
      <x:c r="H425" s="40"/>
      <x:c r="I425" s="32"/>
      <x:c r="J425" s="32"/>
      <x:c r="K425" s="23" t="str">
        <x:f>IF(B425="","",IF(ABS(SUMIF($B$4:$B$503,B425,$G$4:$G$503)-SUMIF($B$4:$B$503,B425,$H$4:$H$503))&lt;0.01,"OK","NIEZGODNY"))</x:f>
      </x:c>
    </x:row>
    <x:row r="426">
      <x:c r="A426" s="33"/>
      <x:c r="B426" s="32"/>
      <x:c r="C426" s="32"/>
      <x:c r="D426" s="32"/>
      <x:c r="E426" s="32"/>
      <x:c r="F426" s="23" t="str">
        <x:f>IFERROR(VLOOKUP(E426,'Plan kont'!$A$4:$B$35,2,FALSE),"")</x:f>
      </x:c>
      <x:c r="G426" s="40"/>
      <x:c r="H426" s="40"/>
      <x:c r="I426" s="32"/>
      <x:c r="J426" s="32"/>
      <x:c r="K426" s="23" t="str">
        <x:f>IF(B426="","",IF(ABS(SUMIF($B$4:$B$503,B426,$G$4:$G$503)-SUMIF($B$4:$B$503,B426,$H$4:$H$503))&lt;0.01,"OK","NIEZGODNY"))</x:f>
      </x:c>
    </x:row>
    <x:row r="427">
      <x:c r="A427" s="33"/>
      <x:c r="B427" s="32"/>
      <x:c r="C427" s="32"/>
      <x:c r="D427" s="32"/>
      <x:c r="E427" s="32"/>
      <x:c r="F427" s="23" t="str">
        <x:f>IFERROR(VLOOKUP(E427,'Plan kont'!$A$4:$B$35,2,FALSE),"")</x:f>
      </x:c>
      <x:c r="G427" s="40"/>
      <x:c r="H427" s="40"/>
      <x:c r="I427" s="32"/>
      <x:c r="J427" s="32"/>
      <x:c r="K427" s="23" t="str">
        <x:f>IF(B427="","",IF(ABS(SUMIF($B$4:$B$503,B427,$G$4:$G$503)-SUMIF($B$4:$B$503,B427,$H$4:$H$503))&lt;0.01,"OK","NIEZGODNY"))</x:f>
      </x:c>
    </x:row>
    <x:row r="428">
      <x:c r="A428" s="33"/>
      <x:c r="B428" s="32"/>
      <x:c r="C428" s="32"/>
      <x:c r="D428" s="32"/>
      <x:c r="E428" s="32"/>
      <x:c r="F428" s="23" t="str">
        <x:f>IFERROR(VLOOKUP(E428,'Plan kont'!$A$4:$B$35,2,FALSE),"")</x:f>
      </x:c>
      <x:c r="G428" s="40"/>
      <x:c r="H428" s="40"/>
      <x:c r="I428" s="32"/>
      <x:c r="J428" s="32"/>
      <x:c r="K428" s="23" t="str">
        <x:f>IF(B428="","",IF(ABS(SUMIF($B$4:$B$503,B428,$G$4:$G$503)-SUMIF($B$4:$B$503,B428,$H$4:$H$503))&lt;0.01,"OK","NIEZGODNY"))</x:f>
      </x:c>
    </x:row>
    <x:row r="429">
      <x:c r="A429" s="33"/>
      <x:c r="B429" s="32"/>
      <x:c r="C429" s="32"/>
      <x:c r="D429" s="32"/>
      <x:c r="E429" s="32"/>
      <x:c r="F429" s="23" t="str">
        <x:f>IFERROR(VLOOKUP(E429,'Plan kont'!$A$4:$B$35,2,FALSE),"")</x:f>
      </x:c>
      <x:c r="G429" s="40"/>
      <x:c r="H429" s="40"/>
      <x:c r="I429" s="32"/>
      <x:c r="J429" s="32"/>
      <x:c r="K429" s="23" t="str">
        <x:f>IF(B429="","",IF(ABS(SUMIF($B$4:$B$503,B429,$G$4:$G$503)-SUMIF($B$4:$B$503,B429,$H$4:$H$503))&lt;0.01,"OK","NIEZGODNY"))</x:f>
      </x:c>
    </x:row>
    <x:row r="430">
      <x:c r="A430" s="33"/>
      <x:c r="B430" s="32"/>
      <x:c r="C430" s="32"/>
      <x:c r="D430" s="32"/>
      <x:c r="E430" s="32"/>
      <x:c r="F430" s="23" t="str">
        <x:f>IFERROR(VLOOKUP(E430,'Plan kont'!$A$4:$B$35,2,FALSE),"")</x:f>
      </x:c>
      <x:c r="G430" s="40"/>
      <x:c r="H430" s="40"/>
      <x:c r="I430" s="32"/>
      <x:c r="J430" s="32"/>
      <x:c r="K430" s="23" t="str">
        <x:f>IF(B430="","",IF(ABS(SUMIF($B$4:$B$503,B430,$G$4:$G$503)-SUMIF($B$4:$B$503,B430,$H$4:$H$503))&lt;0.01,"OK","NIEZGODNY"))</x:f>
      </x:c>
    </x:row>
    <x:row r="431">
      <x:c r="A431" s="33"/>
      <x:c r="B431" s="32"/>
      <x:c r="C431" s="32"/>
      <x:c r="D431" s="32"/>
      <x:c r="E431" s="32"/>
      <x:c r="F431" s="23" t="str">
        <x:f>IFERROR(VLOOKUP(E431,'Plan kont'!$A$4:$B$35,2,FALSE),"")</x:f>
      </x:c>
      <x:c r="G431" s="40"/>
      <x:c r="H431" s="40"/>
      <x:c r="I431" s="32"/>
      <x:c r="J431" s="32"/>
      <x:c r="K431" s="23" t="str">
        <x:f>IF(B431="","",IF(ABS(SUMIF($B$4:$B$503,B431,$G$4:$G$503)-SUMIF($B$4:$B$503,B431,$H$4:$H$503))&lt;0.01,"OK","NIEZGODNY"))</x:f>
      </x:c>
    </x:row>
    <x:row r="432">
      <x:c r="A432" s="33"/>
      <x:c r="B432" s="32"/>
      <x:c r="C432" s="32"/>
      <x:c r="D432" s="32"/>
      <x:c r="E432" s="32"/>
      <x:c r="F432" s="23" t="str">
        <x:f>IFERROR(VLOOKUP(E432,'Plan kont'!$A$4:$B$35,2,FALSE),"")</x:f>
      </x:c>
      <x:c r="G432" s="40"/>
      <x:c r="H432" s="40"/>
      <x:c r="I432" s="32"/>
      <x:c r="J432" s="32"/>
      <x:c r="K432" s="23" t="str">
        <x:f>IF(B432="","",IF(ABS(SUMIF($B$4:$B$503,B432,$G$4:$G$503)-SUMIF($B$4:$B$503,B432,$H$4:$H$503))&lt;0.01,"OK","NIEZGODNY"))</x:f>
      </x:c>
    </x:row>
    <x:row r="433">
      <x:c r="A433" s="33"/>
      <x:c r="B433" s="32"/>
      <x:c r="C433" s="32"/>
      <x:c r="D433" s="32"/>
      <x:c r="E433" s="32"/>
      <x:c r="F433" s="23" t="str">
        <x:f>IFERROR(VLOOKUP(E433,'Plan kont'!$A$4:$B$35,2,FALSE),"")</x:f>
      </x:c>
      <x:c r="G433" s="40"/>
      <x:c r="H433" s="40"/>
      <x:c r="I433" s="32"/>
      <x:c r="J433" s="32"/>
      <x:c r="K433" s="23" t="str">
        <x:f>IF(B433="","",IF(ABS(SUMIF($B$4:$B$503,B433,$G$4:$G$503)-SUMIF($B$4:$B$503,B433,$H$4:$H$503))&lt;0.01,"OK","NIEZGODNY"))</x:f>
      </x:c>
    </x:row>
    <x:row r="434">
      <x:c r="A434" s="33"/>
      <x:c r="B434" s="32"/>
      <x:c r="C434" s="32"/>
      <x:c r="D434" s="32"/>
      <x:c r="E434" s="32"/>
      <x:c r="F434" s="23" t="str">
        <x:f>IFERROR(VLOOKUP(E434,'Plan kont'!$A$4:$B$35,2,FALSE),"")</x:f>
      </x:c>
      <x:c r="G434" s="40"/>
      <x:c r="H434" s="40"/>
      <x:c r="I434" s="32"/>
      <x:c r="J434" s="32"/>
      <x:c r="K434" s="23" t="str">
        <x:f>IF(B434="","",IF(ABS(SUMIF($B$4:$B$503,B434,$G$4:$G$503)-SUMIF($B$4:$B$503,B434,$H$4:$H$503))&lt;0.01,"OK","NIEZGODNY"))</x:f>
      </x:c>
    </x:row>
    <x:row r="435">
      <x:c r="A435" s="33"/>
      <x:c r="B435" s="32"/>
      <x:c r="C435" s="32"/>
      <x:c r="D435" s="32"/>
      <x:c r="E435" s="32"/>
      <x:c r="F435" s="23" t="str">
        <x:f>IFERROR(VLOOKUP(E435,'Plan kont'!$A$4:$B$35,2,FALSE),"")</x:f>
      </x:c>
      <x:c r="G435" s="40"/>
      <x:c r="H435" s="40"/>
      <x:c r="I435" s="32"/>
      <x:c r="J435" s="32"/>
      <x:c r="K435" s="23" t="str">
        <x:f>IF(B435="","",IF(ABS(SUMIF($B$4:$B$503,B435,$G$4:$G$503)-SUMIF($B$4:$B$503,B435,$H$4:$H$503))&lt;0.01,"OK","NIEZGODNY"))</x:f>
      </x:c>
    </x:row>
    <x:row r="436">
      <x:c r="A436" s="33"/>
      <x:c r="B436" s="32"/>
      <x:c r="C436" s="32"/>
      <x:c r="D436" s="32"/>
      <x:c r="E436" s="32"/>
      <x:c r="F436" s="23" t="str">
        <x:f>IFERROR(VLOOKUP(E436,'Plan kont'!$A$4:$B$35,2,FALSE),"")</x:f>
      </x:c>
      <x:c r="G436" s="40"/>
      <x:c r="H436" s="40"/>
      <x:c r="I436" s="32"/>
      <x:c r="J436" s="32"/>
      <x:c r="K436" s="23" t="str">
        <x:f>IF(B436="","",IF(ABS(SUMIF($B$4:$B$503,B436,$G$4:$G$503)-SUMIF($B$4:$B$503,B436,$H$4:$H$503))&lt;0.01,"OK","NIEZGODNY"))</x:f>
      </x:c>
    </x:row>
    <x:row r="437">
      <x:c r="A437" s="33"/>
      <x:c r="B437" s="32"/>
      <x:c r="C437" s="32"/>
      <x:c r="D437" s="32"/>
      <x:c r="E437" s="32"/>
      <x:c r="F437" s="23" t="str">
        <x:f>IFERROR(VLOOKUP(E437,'Plan kont'!$A$4:$B$35,2,FALSE),"")</x:f>
      </x:c>
      <x:c r="G437" s="40"/>
      <x:c r="H437" s="40"/>
      <x:c r="I437" s="32"/>
      <x:c r="J437" s="32"/>
      <x:c r="K437" s="23" t="str">
        <x:f>IF(B437="","",IF(ABS(SUMIF($B$4:$B$503,B437,$G$4:$G$503)-SUMIF($B$4:$B$503,B437,$H$4:$H$503))&lt;0.01,"OK","NIEZGODNY"))</x:f>
      </x:c>
    </x:row>
    <x:row r="438">
      <x:c r="A438" s="33"/>
      <x:c r="B438" s="32"/>
      <x:c r="C438" s="32"/>
      <x:c r="D438" s="32"/>
      <x:c r="E438" s="32"/>
      <x:c r="F438" s="23" t="str">
        <x:f>IFERROR(VLOOKUP(E438,'Plan kont'!$A$4:$B$35,2,FALSE),"")</x:f>
      </x:c>
      <x:c r="G438" s="40"/>
      <x:c r="H438" s="40"/>
      <x:c r="I438" s="32"/>
      <x:c r="J438" s="32"/>
      <x:c r="K438" s="23" t="str">
        <x:f>IF(B438="","",IF(ABS(SUMIF($B$4:$B$503,B438,$G$4:$G$503)-SUMIF($B$4:$B$503,B438,$H$4:$H$503))&lt;0.01,"OK","NIEZGODNY"))</x:f>
      </x:c>
    </x:row>
    <x:row r="439">
      <x:c r="A439" s="33"/>
      <x:c r="B439" s="32"/>
      <x:c r="C439" s="32"/>
      <x:c r="D439" s="32"/>
      <x:c r="E439" s="32"/>
      <x:c r="F439" s="23" t="str">
        <x:f>IFERROR(VLOOKUP(E439,'Plan kont'!$A$4:$B$35,2,FALSE),"")</x:f>
      </x:c>
      <x:c r="G439" s="40"/>
      <x:c r="H439" s="40"/>
      <x:c r="I439" s="32"/>
      <x:c r="J439" s="32"/>
      <x:c r="K439" s="23" t="str">
        <x:f>IF(B439="","",IF(ABS(SUMIF($B$4:$B$503,B439,$G$4:$G$503)-SUMIF($B$4:$B$503,B439,$H$4:$H$503))&lt;0.01,"OK","NIEZGODNY"))</x:f>
      </x:c>
    </x:row>
    <x:row r="440">
      <x:c r="A440" s="33"/>
      <x:c r="B440" s="32"/>
      <x:c r="C440" s="32"/>
      <x:c r="D440" s="32"/>
      <x:c r="E440" s="32"/>
      <x:c r="F440" s="23" t="str">
        <x:f>IFERROR(VLOOKUP(E440,'Plan kont'!$A$4:$B$35,2,FALSE),"")</x:f>
      </x:c>
      <x:c r="G440" s="40"/>
      <x:c r="H440" s="40"/>
      <x:c r="I440" s="32"/>
      <x:c r="J440" s="32"/>
      <x:c r="K440" s="23" t="str">
        <x:f>IF(B440="","",IF(ABS(SUMIF($B$4:$B$503,B440,$G$4:$G$503)-SUMIF($B$4:$B$503,B440,$H$4:$H$503))&lt;0.01,"OK","NIEZGODNY"))</x:f>
      </x:c>
    </x:row>
    <x:row r="441">
      <x:c r="A441" s="33"/>
      <x:c r="B441" s="32"/>
      <x:c r="C441" s="32"/>
      <x:c r="D441" s="32"/>
      <x:c r="E441" s="32"/>
      <x:c r="F441" s="23" t="str">
        <x:f>IFERROR(VLOOKUP(E441,'Plan kont'!$A$4:$B$35,2,FALSE),"")</x:f>
      </x:c>
      <x:c r="G441" s="40"/>
      <x:c r="H441" s="40"/>
      <x:c r="I441" s="32"/>
      <x:c r="J441" s="32"/>
      <x:c r="K441" s="23" t="str">
        <x:f>IF(B441="","",IF(ABS(SUMIF($B$4:$B$503,B441,$G$4:$G$503)-SUMIF($B$4:$B$503,B441,$H$4:$H$503))&lt;0.01,"OK","NIEZGODNY"))</x:f>
      </x:c>
    </x:row>
    <x:row r="442">
      <x:c r="A442" s="33"/>
      <x:c r="B442" s="32"/>
      <x:c r="C442" s="32"/>
      <x:c r="D442" s="32"/>
      <x:c r="E442" s="32"/>
      <x:c r="F442" s="23" t="str">
        <x:f>IFERROR(VLOOKUP(E442,'Plan kont'!$A$4:$B$35,2,FALSE),"")</x:f>
      </x:c>
      <x:c r="G442" s="40"/>
      <x:c r="H442" s="40"/>
      <x:c r="I442" s="32"/>
      <x:c r="J442" s="32"/>
      <x:c r="K442" s="23" t="str">
        <x:f>IF(B442="","",IF(ABS(SUMIF($B$4:$B$503,B442,$G$4:$G$503)-SUMIF($B$4:$B$503,B442,$H$4:$H$503))&lt;0.01,"OK","NIEZGODNY"))</x:f>
      </x:c>
    </x:row>
    <x:row r="443">
      <x:c r="A443" s="33"/>
      <x:c r="B443" s="32"/>
      <x:c r="C443" s="32"/>
      <x:c r="D443" s="32"/>
      <x:c r="E443" s="32"/>
      <x:c r="F443" s="23" t="str">
        <x:f>IFERROR(VLOOKUP(E443,'Plan kont'!$A$4:$B$35,2,FALSE),"")</x:f>
      </x:c>
      <x:c r="G443" s="40"/>
      <x:c r="H443" s="40"/>
      <x:c r="I443" s="32"/>
      <x:c r="J443" s="32"/>
      <x:c r="K443" s="23" t="str">
        <x:f>IF(B443="","",IF(ABS(SUMIF($B$4:$B$503,B443,$G$4:$G$503)-SUMIF($B$4:$B$503,B443,$H$4:$H$503))&lt;0.01,"OK","NIEZGODNY"))</x:f>
      </x:c>
    </x:row>
    <x:row r="444">
      <x:c r="A444" s="33"/>
      <x:c r="B444" s="32"/>
      <x:c r="C444" s="32"/>
      <x:c r="D444" s="32"/>
      <x:c r="E444" s="32"/>
      <x:c r="F444" s="23" t="str">
        <x:f>IFERROR(VLOOKUP(E444,'Plan kont'!$A$4:$B$35,2,FALSE),"")</x:f>
      </x:c>
      <x:c r="G444" s="40"/>
      <x:c r="H444" s="40"/>
      <x:c r="I444" s="32"/>
      <x:c r="J444" s="32"/>
      <x:c r="K444" s="23" t="str">
        <x:f>IF(B444="","",IF(ABS(SUMIF($B$4:$B$503,B444,$G$4:$G$503)-SUMIF($B$4:$B$503,B444,$H$4:$H$503))&lt;0.01,"OK","NIEZGODNY"))</x:f>
      </x:c>
    </x:row>
    <x:row r="445">
      <x:c r="A445" s="33"/>
      <x:c r="B445" s="32"/>
      <x:c r="C445" s="32"/>
      <x:c r="D445" s="32"/>
      <x:c r="E445" s="32"/>
      <x:c r="F445" s="23" t="str">
        <x:f>IFERROR(VLOOKUP(E445,'Plan kont'!$A$4:$B$35,2,FALSE),"")</x:f>
      </x:c>
      <x:c r="G445" s="40"/>
      <x:c r="H445" s="40"/>
      <x:c r="I445" s="32"/>
      <x:c r="J445" s="32"/>
      <x:c r="K445" s="23" t="str">
        <x:f>IF(B445="","",IF(ABS(SUMIF($B$4:$B$503,B445,$G$4:$G$503)-SUMIF($B$4:$B$503,B445,$H$4:$H$503))&lt;0.01,"OK","NIEZGODNY"))</x:f>
      </x:c>
    </x:row>
    <x:row r="446">
      <x:c r="A446" s="33"/>
      <x:c r="B446" s="32"/>
      <x:c r="C446" s="32"/>
      <x:c r="D446" s="32"/>
      <x:c r="E446" s="32"/>
      <x:c r="F446" s="23" t="str">
        <x:f>IFERROR(VLOOKUP(E446,'Plan kont'!$A$4:$B$35,2,FALSE),"")</x:f>
      </x:c>
      <x:c r="G446" s="40"/>
      <x:c r="H446" s="40"/>
      <x:c r="I446" s="32"/>
      <x:c r="J446" s="32"/>
      <x:c r="K446" s="23" t="str">
        <x:f>IF(B446="","",IF(ABS(SUMIF($B$4:$B$503,B446,$G$4:$G$503)-SUMIF($B$4:$B$503,B446,$H$4:$H$503))&lt;0.01,"OK","NIEZGODNY"))</x:f>
      </x:c>
    </x:row>
    <x:row r="447">
      <x:c r="A447" s="33"/>
      <x:c r="B447" s="32"/>
      <x:c r="C447" s="32"/>
      <x:c r="D447" s="32"/>
      <x:c r="E447" s="32"/>
      <x:c r="F447" s="23" t="str">
        <x:f>IFERROR(VLOOKUP(E447,'Plan kont'!$A$4:$B$35,2,FALSE),"")</x:f>
      </x:c>
      <x:c r="G447" s="40"/>
      <x:c r="H447" s="40"/>
      <x:c r="I447" s="32"/>
      <x:c r="J447" s="32"/>
      <x:c r="K447" s="23" t="str">
        <x:f>IF(B447="","",IF(ABS(SUMIF($B$4:$B$503,B447,$G$4:$G$503)-SUMIF($B$4:$B$503,B447,$H$4:$H$503))&lt;0.01,"OK","NIEZGODNY"))</x:f>
      </x:c>
    </x:row>
    <x:row r="448">
      <x:c r="A448" s="33"/>
      <x:c r="B448" s="32"/>
      <x:c r="C448" s="32"/>
      <x:c r="D448" s="32"/>
      <x:c r="E448" s="32"/>
      <x:c r="F448" s="23" t="str">
        <x:f>IFERROR(VLOOKUP(E448,'Plan kont'!$A$4:$B$35,2,FALSE),"")</x:f>
      </x:c>
      <x:c r="G448" s="40"/>
      <x:c r="H448" s="40"/>
      <x:c r="I448" s="32"/>
      <x:c r="J448" s="32"/>
      <x:c r="K448" s="23" t="str">
        <x:f>IF(B448="","",IF(ABS(SUMIF($B$4:$B$503,B448,$G$4:$G$503)-SUMIF($B$4:$B$503,B448,$H$4:$H$503))&lt;0.01,"OK","NIEZGODNY"))</x:f>
      </x:c>
    </x:row>
    <x:row r="449">
      <x:c r="A449" s="33"/>
      <x:c r="B449" s="32"/>
      <x:c r="C449" s="32"/>
      <x:c r="D449" s="32"/>
      <x:c r="E449" s="32"/>
      <x:c r="F449" s="23" t="str">
        <x:f>IFERROR(VLOOKUP(E449,'Plan kont'!$A$4:$B$35,2,FALSE),"")</x:f>
      </x:c>
      <x:c r="G449" s="40"/>
      <x:c r="H449" s="40"/>
      <x:c r="I449" s="32"/>
      <x:c r="J449" s="32"/>
      <x:c r="K449" s="23" t="str">
        <x:f>IF(B449="","",IF(ABS(SUMIF($B$4:$B$503,B449,$G$4:$G$503)-SUMIF($B$4:$B$503,B449,$H$4:$H$503))&lt;0.01,"OK","NIEZGODNY"))</x:f>
      </x:c>
    </x:row>
    <x:row r="450">
      <x:c r="A450" s="33"/>
      <x:c r="B450" s="32"/>
      <x:c r="C450" s="32"/>
      <x:c r="D450" s="32"/>
      <x:c r="E450" s="32"/>
      <x:c r="F450" s="23" t="str">
        <x:f>IFERROR(VLOOKUP(E450,'Plan kont'!$A$4:$B$35,2,FALSE),"")</x:f>
      </x:c>
      <x:c r="G450" s="40"/>
      <x:c r="H450" s="40"/>
      <x:c r="I450" s="32"/>
      <x:c r="J450" s="32"/>
      <x:c r="K450" s="23" t="str">
        <x:f>IF(B450="","",IF(ABS(SUMIF($B$4:$B$503,B450,$G$4:$G$503)-SUMIF($B$4:$B$503,B450,$H$4:$H$503))&lt;0.01,"OK","NIEZGODNY"))</x:f>
      </x:c>
    </x:row>
    <x:row r="451">
      <x:c r="A451" s="33"/>
      <x:c r="B451" s="32"/>
      <x:c r="C451" s="32"/>
      <x:c r="D451" s="32"/>
      <x:c r="E451" s="32"/>
      <x:c r="F451" s="23" t="str">
        <x:f>IFERROR(VLOOKUP(E451,'Plan kont'!$A$4:$B$35,2,FALSE),"")</x:f>
      </x:c>
      <x:c r="G451" s="40"/>
      <x:c r="H451" s="40"/>
      <x:c r="I451" s="32"/>
      <x:c r="J451" s="32"/>
      <x:c r="K451" s="23" t="str">
        <x:f>IF(B451="","",IF(ABS(SUMIF($B$4:$B$503,B451,$G$4:$G$503)-SUMIF($B$4:$B$503,B451,$H$4:$H$503))&lt;0.01,"OK","NIEZGODNY"))</x:f>
      </x:c>
    </x:row>
    <x:row r="452">
      <x:c r="A452" s="33"/>
      <x:c r="B452" s="32"/>
      <x:c r="C452" s="32"/>
      <x:c r="D452" s="32"/>
      <x:c r="E452" s="32"/>
      <x:c r="F452" s="23" t="str">
        <x:f>IFERROR(VLOOKUP(E452,'Plan kont'!$A$4:$B$35,2,FALSE),"")</x:f>
      </x:c>
      <x:c r="G452" s="40"/>
      <x:c r="H452" s="40"/>
      <x:c r="I452" s="32"/>
      <x:c r="J452" s="32"/>
      <x:c r="K452" s="23" t="str">
        <x:f>IF(B452="","",IF(ABS(SUMIF($B$4:$B$503,B452,$G$4:$G$503)-SUMIF($B$4:$B$503,B452,$H$4:$H$503))&lt;0.01,"OK","NIEZGODNY"))</x:f>
      </x:c>
    </x:row>
    <x:row r="453">
      <x:c r="A453" s="33"/>
      <x:c r="B453" s="32"/>
      <x:c r="C453" s="32"/>
      <x:c r="D453" s="32"/>
      <x:c r="E453" s="32"/>
      <x:c r="F453" s="23" t="str">
        <x:f>IFERROR(VLOOKUP(E453,'Plan kont'!$A$4:$B$35,2,FALSE),"")</x:f>
      </x:c>
      <x:c r="G453" s="40"/>
      <x:c r="H453" s="40"/>
      <x:c r="I453" s="32"/>
      <x:c r="J453" s="32"/>
      <x:c r="K453" s="23" t="str">
        <x:f>IF(B453="","",IF(ABS(SUMIF($B$4:$B$503,B453,$G$4:$G$503)-SUMIF($B$4:$B$503,B453,$H$4:$H$503))&lt;0.01,"OK","NIEZGODNY"))</x:f>
      </x:c>
    </x:row>
    <x:row r="454">
      <x:c r="A454" s="33"/>
      <x:c r="B454" s="32"/>
      <x:c r="C454" s="32"/>
      <x:c r="D454" s="32"/>
      <x:c r="E454" s="32"/>
      <x:c r="F454" s="23" t="str">
        <x:f>IFERROR(VLOOKUP(E454,'Plan kont'!$A$4:$B$35,2,FALSE),"")</x:f>
      </x:c>
      <x:c r="G454" s="40"/>
      <x:c r="H454" s="40"/>
      <x:c r="I454" s="32"/>
      <x:c r="J454" s="32"/>
      <x:c r="K454" s="23" t="str">
        <x:f>IF(B454="","",IF(ABS(SUMIF($B$4:$B$503,B454,$G$4:$G$503)-SUMIF($B$4:$B$503,B454,$H$4:$H$503))&lt;0.01,"OK","NIEZGODNY"))</x:f>
      </x:c>
    </x:row>
    <x:row r="455">
      <x:c r="A455" s="33"/>
      <x:c r="B455" s="32"/>
      <x:c r="C455" s="32"/>
      <x:c r="D455" s="32"/>
      <x:c r="E455" s="32"/>
      <x:c r="F455" s="23" t="str">
        <x:f>IFERROR(VLOOKUP(E455,'Plan kont'!$A$4:$B$35,2,FALSE),"")</x:f>
      </x:c>
      <x:c r="G455" s="40"/>
      <x:c r="H455" s="40"/>
      <x:c r="I455" s="32"/>
      <x:c r="J455" s="32"/>
      <x:c r="K455" s="23" t="str">
        <x:f>IF(B455="","",IF(ABS(SUMIF($B$4:$B$503,B455,$G$4:$G$503)-SUMIF($B$4:$B$503,B455,$H$4:$H$503))&lt;0.01,"OK","NIEZGODNY"))</x:f>
      </x:c>
    </x:row>
    <x:row r="456">
      <x:c r="A456" s="33"/>
      <x:c r="B456" s="32"/>
      <x:c r="C456" s="32"/>
      <x:c r="D456" s="32"/>
      <x:c r="E456" s="32"/>
      <x:c r="F456" s="23" t="str">
        <x:f>IFERROR(VLOOKUP(E456,'Plan kont'!$A$4:$B$35,2,FALSE),"")</x:f>
      </x:c>
      <x:c r="G456" s="40"/>
      <x:c r="H456" s="40"/>
      <x:c r="I456" s="32"/>
      <x:c r="J456" s="32"/>
      <x:c r="K456" s="23" t="str">
        <x:f>IF(B456="","",IF(ABS(SUMIF($B$4:$B$503,B456,$G$4:$G$503)-SUMIF($B$4:$B$503,B456,$H$4:$H$503))&lt;0.01,"OK","NIEZGODNY"))</x:f>
      </x:c>
    </x:row>
    <x:row r="457">
      <x:c r="A457" s="33"/>
      <x:c r="B457" s="32"/>
      <x:c r="C457" s="32"/>
      <x:c r="D457" s="32"/>
      <x:c r="E457" s="32"/>
      <x:c r="F457" s="23" t="str">
        <x:f>IFERROR(VLOOKUP(E457,'Plan kont'!$A$4:$B$35,2,FALSE),"")</x:f>
      </x:c>
      <x:c r="G457" s="40"/>
      <x:c r="H457" s="40"/>
      <x:c r="I457" s="32"/>
      <x:c r="J457" s="32"/>
      <x:c r="K457" s="23" t="str">
        <x:f>IF(B457="","",IF(ABS(SUMIF($B$4:$B$503,B457,$G$4:$G$503)-SUMIF($B$4:$B$503,B457,$H$4:$H$503))&lt;0.01,"OK","NIEZGODNY"))</x:f>
      </x:c>
    </x:row>
    <x:row r="458">
      <x:c r="A458" s="33"/>
      <x:c r="B458" s="32"/>
      <x:c r="C458" s="32"/>
      <x:c r="D458" s="32"/>
      <x:c r="E458" s="32"/>
      <x:c r="F458" s="23" t="str">
        <x:f>IFERROR(VLOOKUP(E458,'Plan kont'!$A$4:$B$35,2,FALSE),"")</x:f>
      </x:c>
      <x:c r="G458" s="40"/>
      <x:c r="H458" s="40"/>
      <x:c r="I458" s="32"/>
      <x:c r="J458" s="32"/>
      <x:c r="K458" s="23" t="str">
        <x:f>IF(B458="","",IF(ABS(SUMIF($B$4:$B$503,B458,$G$4:$G$503)-SUMIF($B$4:$B$503,B458,$H$4:$H$503))&lt;0.01,"OK","NIEZGODNY"))</x:f>
      </x:c>
    </x:row>
    <x:row r="459">
      <x:c r="A459" s="33"/>
      <x:c r="B459" s="32"/>
      <x:c r="C459" s="32"/>
      <x:c r="D459" s="32"/>
      <x:c r="E459" s="32"/>
      <x:c r="F459" s="23" t="str">
        <x:f>IFERROR(VLOOKUP(E459,'Plan kont'!$A$4:$B$35,2,FALSE),"")</x:f>
      </x:c>
      <x:c r="G459" s="40"/>
      <x:c r="H459" s="40"/>
      <x:c r="I459" s="32"/>
      <x:c r="J459" s="32"/>
      <x:c r="K459" s="23" t="str">
        <x:f>IF(B459="","",IF(ABS(SUMIF($B$4:$B$503,B459,$G$4:$G$503)-SUMIF($B$4:$B$503,B459,$H$4:$H$503))&lt;0.01,"OK","NIEZGODNY"))</x:f>
      </x:c>
    </x:row>
    <x:row r="460">
      <x:c r="A460" s="33"/>
      <x:c r="B460" s="32"/>
      <x:c r="C460" s="32"/>
      <x:c r="D460" s="32"/>
      <x:c r="E460" s="32"/>
      <x:c r="F460" s="23" t="str">
        <x:f>IFERROR(VLOOKUP(E460,'Plan kont'!$A$4:$B$35,2,FALSE),"")</x:f>
      </x:c>
      <x:c r="G460" s="40"/>
      <x:c r="H460" s="40"/>
      <x:c r="I460" s="32"/>
      <x:c r="J460" s="32"/>
      <x:c r="K460" s="23" t="str">
        <x:f>IF(B460="","",IF(ABS(SUMIF($B$4:$B$503,B460,$G$4:$G$503)-SUMIF($B$4:$B$503,B460,$H$4:$H$503))&lt;0.01,"OK","NIEZGODNY"))</x:f>
      </x:c>
    </x:row>
    <x:row r="461">
      <x:c r="A461" s="33"/>
      <x:c r="B461" s="32"/>
      <x:c r="C461" s="32"/>
      <x:c r="D461" s="32"/>
      <x:c r="E461" s="32"/>
      <x:c r="F461" s="23" t="str">
        <x:f>IFERROR(VLOOKUP(E461,'Plan kont'!$A$4:$B$35,2,FALSE),"")</x:f>
      </x:c>
      <x:c r="G461" s="40"/>
      <x:c r="H461" s="40"/>
      <x:c r="I461" s="32"/>
      <x:c r="J461" s="32"/>
      <x:c r="K461" s="23" t="str">
        <x:f>IF(B461="","",IF(ABS(SUMIF($B$4:$B$503,B461,$G$4:$G$503)-SUMIF($B$4:$B$503,B461,$H$4:$H$503))&lt;0.01,"OK","NIEZGODNY"))</x:f>
      </x:c>
    </x:row>
    <x:row r="462">
      <x:c r="A462" s="33"/>
      <x:c r="B462" s="32"/>
      <x:c r="C462" s="32"/>
      <x:c r="D462" s="32"/>
      <x:c r="E462" s="32"/>
      <x:c r="F462" s="23" t="str">
        <x:f>IFERROR(VLOOKUP(E462,'Plan kont'!$A$4:$B$35,2,FALSE),"")</x:f>
      </x:c>
      <x:c r="G462" s="40"/>
      <x:c r="H462" s="40"/>
      <x:c r="I462" s="32"/>
      <x:c r="J462" s="32"/>
      <x:c r="K462" s="23" t="str">
        <x:f>IF(B462="","",IF(ABS(SUMIF($B$4:$B$503,B462,$G$4:$G$503)-SUMIF($B$4:$B$503,B462,$H$4:$H$503))&lt;0.01,"OK","NIEZGODNY"))</x:f>
      </x:c>
    </x:row>
    <x:row r="463">
      <x:c r="A463" s="33"/>
      <x:c r="B463" s="32"/>
      <x:c r="C463" s="32"/>
      <x:c r="D463" s="32"/>
      <x:c r="E463" s="32"/>
      <x:c r="F463" s="23" t="str">
        <x:f>IFERROR(VLOOKUP(E463,'Plan kont'!$A$4:$B$35,2,FALSE),"")</x:f>
      </x:c>
      <x:c r="G463" s="40"/>
      <x:c r="H463" s="40"/>
      <x:c r="I463" s="32"/>
      <x:c r="J463" s="32"/>
      <x:c r="K463" s="23" t="str">
        <x:f>IF(B463="","",IF(ABS(SUMIF($B$4:$B$503,B463,$G$4:$G$503)-SUMIF($B$4:$B$503,B463,$H$4:$H$503))&lt;0.01,"OK","NIEZGODNY"))</x:f>
      </x:c>
    </x:row>
    <x:row r="464">
      <x:c r="A464" s="33"/>
      <x:c r="B464" s="32"/>
      <x:c r="C464" s="32"/>
      <x:c r="D464" s="32"/>
      <x:c r="E464" s="32"/>
      <x:c r="F464" s="23" t="str">
        <x:f>IFERROR(VLOOKUP(E464,'Plan kont'!$A$4:$B$35,2,FALSE),"")</x:f>
      </x:c>
      <x:c r="G464" s="40"/>
      <x:c r="H464" s="40"/>
      <x:c r="I464" s="32"/>
      <x:c r="J464" s="32"/>
      <x:c r="K464" s="23" t="str">
        <x:f>IF(B464="","",IF(ABS(SUMIF($B$4:$B$503,B464,$G$4:$G$503)-SUMIF($B$4:$B$503,B464,$H$4:$H$503))&lt;0.01,"OK","NIEZGODNY"))</x:f>
      </x:c>
    </x:row>
    <x:row r="465">
      <x:c r="A465" s="33"/>
      <x:c r="B465" s="32"/>
      <x:c r="C465" s="32"/>
      <x:c r="D465" s="32"/>
      <x:c r="E465" s="32"/>
      <x:c r="F465" s="23" t="str">
        <x:f>IFERROR(VLOOKUP(E465,'Plan kont'!$A$4:$B$35,2,FALSE),"")</x:f>
      </x:c>
      <x:c r="G465" s="40"/>
      <x:c r="H465" s="40"/>
      <x:c r="I465" s="32"/>
      <x:c r="J465" s="32"/>
      <x:c r="K465" s="23" t="str">
        <x:f>IF(B465="","",IF(ABS(SUMIF($B$4:$B$503,B465,$G$4:$G$503)-SUMIF($B$4:$B$503,B465,$H$4:$H$503))&lt;0.01,"OK","NIEZGODNY"))</x:f>
      </x:c>
    </x:row>
    <x:row r="466">
      <x:c r="A466" s="33"/>
      <x:c r="B466" s="32"/>
      <x:c r="C466" s="32"/>
      <x:c r="D466" s="32"/>
      <x:c r="E466" s="32"/>
      <x:c r="F466" s="23" t="str">
        <x:f>IFERROR(VLOOKUP(E466,'Plan kont'!$A$4:$B$35,2,FALSE),"")</x:f>
      </x:c>
      <x:c r="G466" s="40"/>
      <x:c r="H466" s="40"/>
      <x:c r="I466" s="32"/>
      <x:c r="J466" s="32"/>
      <x:c r="K466" s="23" t="str">
        <x:f>IF(B466="","",IF(ABS(SUMIF($B$4:$B$503,B466,$G$4:$G$503)-SUMIF($B$4:$B$503,B466,$H$4:$H$503))&lt;0.01,"OK","NIEZGODNY"))</x:f>
      </x:c>
    </x:row>
    <x:row r="467">
      <x:c r="A467" s="33"/>
      <x:c r="B467" s="32"/>
      <x:c r="C467" s="32"/>
      <x:c r="D467" s="32"/>
      <x:c r="E467" s="32"/>
      <x:c r="F467" s="23" t="str">
        <x:f>IFERROR(VLOOKUP(E467,'Plan kont'!$A$4:$B$35,2,FALSE),"")</x:f>
      </x:c>
      <x:c r="G467" s="40"/>
      <x:c r="H467" s="40"/>
      <x:c r="I467" s="32"/>
      <x:c r="J467" s="32"/>
      <x:c r="K467" s="23" t="str">
        <x:f>IF(B467="","",IF(ABS(SUMIF($B$4:$B$503,B467,$G$4:$G$503)-SUMIF($B$4:$B$503,B467,$H$4:$H$503))&lt;0.01,"OK","NIEZGODNY"))</x:f>
      </x:c>
    </x:row>
    <x:row r="468">
      <x:c r="A468" s="33"/>
      <x:c r="B468" s="32"/>
      <x:c r="C468" s="32"/>
      <x:c r="D468" s="32"/>
      <x:c r="E468" s="32"/>
      <x:c r="F468" s="23" t="str">
        <x:f>IFERROR(VLOOKUP(E468,'Plan kont'!$A$4:$B$35,2,FALSE),"")</x:f>
      </x:c>
      <x:c r="G468" s="40"/>
      <x:c r="H468" s="40"/>
      <x:c r="I468" s="32"/>
      <x:c r="J468" s="32"/>
      <x:c r="K468" s="23" t="str">
        <x:f>IF(B468="","",IF(ABS(SUMIF($B$4:$B$503,B468,$G$4:$G$503)-SUMIF($B$4:$B$503,B468,$H$4:$H$503))&lt;0.01,"OK","NIEZGODNY"))</x:f>
      </x:c>
    </x:row>
    <x:row r="469">
      <x:c r="A469" s="33"/>
      <x:c r="B469" s="32"/>
      <x:c r="C469" s="32"/>
      <x:c r="D469" s="32"/>
      <x:c r="E469" s="32"/>
      <x:c r="F469" s="23" t="str">
        <x:f>IFERROR(VLOOKUP(E469,'Plan kont'!$A$4:$B$35,2,FALSE),"")</x:f>
      </x:c>
      <x:c r="G469" s="40"/>
      <x:c r="H469" s="40"/>
      <x:c r="I469" s="32"/>
      <x:c r="J469" s="32"/>
      <x:c r="K469" s="23" t="str">
        <x:f>IF(B469="","",IF(ABS(SUMIF($B$4:$B$503,B469,$G$4:$G$503)-SUMIF($B$4:$B$503,B469,$H$4:$H$503))&lt;0.01,"OK","NIEZGODNY"))</x:f>
      </x:c>
    </x:row>
    <x:row r="470">
      <x:c r="A470" s="33"/>
      <x:c r="B470" s="32"/>
      <x:c r="C470" s="32"/>
      <x:c r="D470" s="32"/>
      <x:c r="E470" s="32"/>
      <x:c r="F470" s="23" t="str">
        <x:f>IFERROR(VLOOKUP(E470,'Plan kont'!$A$4:$B$35,2,FALSE),"")</x:f>
      </x:c>
      <x:c r="G470" s="40"/>
      <x:c r="H470" s="40"/>
      <x:c r="I470" s="32"/>
      <x:c r="J470" s="32"/>
      <x:c r="K470" s="23" t="str">
        <x:f>IF(B470="","",IF(ABS(SUMIF($B$4:$B$503,B470,$G$4:$G$503)-SUMIF($B$4:$B$503,B470,$H$4:$H$503))&lt;0.01,"OK","NIEZGODNY"))</x:f>
      </x:c>
    </x:row>
    <x:row r="471">
      <x:c r="A471" s="33"/>
      <x:c r="B471" s="32"/>
      <x:c r="C471" s="32"/>
      <x:c r="D471" s="32"/>
      <x:c r="E471" s="32"/>
      <x:c r="F471" s="23" t="str">
        <x:f>IFERROR(VLOOKUP(E471,'Plan kont'!$A$4:$B$35,2,FALSE),"")</x:f>
      </x:c>
      <x:c r="G471" s="40"/>
      <x:c r="H471" s="40"/>
      <x:c r="I471" s="32"/>
      <x:c r="J471" s="32"/>
      <x:c r="K471" s="23" t="str">
        <x:f>IF(B471="","",IF(ABS(SUMIF($B$4:$B$503,B471,$G$4:$G$503)-SUMIF($B$4:$B$503,B471,$H$4:$H$503))&lt;0.01,"OK","NIEZGODNY"))</x:f>
      </x:c>
    </x:row>
    <x:row r="472">
      <x:c r="A472" s="33"/>
      <x:c r="B472" s="32"/>
      <x:c r="C472" s="32"/>
      <x:c r="D472" s="32"/>
      <x:c r="E472" s="32"/>
      <x:c r="F472" s="23" t="str">
        <x:f>IFERROR(VLOOKUP(E472,'Plan kont'!$A$4:$B$35,2,FALSE),"")</x:f>
      </x:c>
      <x:c r="G472" s="40"/>
      <x:c r="H472" s="40"/>
      <x:c r="I472" s="32"/>
      <x:c r="J472" s="32"/>
      <x:c r="K472" s="23" t="str">
        <x:f>IF(B472="","",IF(ABS(SUMIF($B$4:$B$503,B472,$G$4:$G$503)-SUMIF($B$4:$B$503,B472,$H$4:$H$503))&lt;0.01,"OK","NIEZGODNY"))</x:f>
      </x:c>
    </x:row>
    <x:row r="473">
      <x:c r="A473" s="33"/>
      <x:c r="B473" s="32"/>
      <x:c r="C473" s="32"/>
      <x:c r="D473" s="32"/>
      <x:c r="E473" s="32"/>
      <x:c r="F473" s="23" t="str">
        <x:f>IFERROR(VLOOKUP(E473,'Plan kont'!$A$4:$B$35,2,FALSE),"")</x:f>
      </x:c>
      <x:c r="G473" s="40"/>
      <x:c r="H473" s="40"/>
      <x:c r="I473" s="32"/>
      <x:c r="J473" s="32"/>
      <x:c r="K473" s="23" t="str">
        <x:f>IF(B473="","",IF(ABS(SUMIF($B$4:$B$503,B473,$G$4:$G$503)-SUMIF($B$4:$B$503,B473,$H$4:$H$503))&lt;0.01,"OK","NIEZGODNY"))</x:f>
      </x:c>
    </x:row>
    <x:row r="474">
      <x:c r="A474" s="33"/>
      <x:c r="B474" s="32"/>
      <x:c r="C474" s="32"/>
      <x:c r="D474" s="32"/>
      <x:c r="E474" s="32"/>
      <x:c r="F474" s="23" t="str">
        <x:f>IFERROR(VLOOKUP(E474,'Plan kont'!$A$4:$B$35,2,FALSE),"")</x:f>
      </x:c>
      <x:c r="G474" s="40"/>
      <x:c r="H474" s="40"/>
      <x:c r="I474" s="32"/>
      <x:c r="J474" s="32"/>
      <x:c r="K474" s="23" t="str">
        <x:f>IF(B474="","",IF(ABS(SUMIF($B$4:$B$503,B474,$G$4:$G$503)-SUMIF($B$4:$B$503,B474,$H$4:$H$503))&lt;0.01,"OK","NIEZGODNY"))</x:f>
      </x:c>
    </x:row>
    <x:row r="475">
      <x:c r="A475" s="33"/>
      <x:c r="B475" s="32"/>
      <x:c r="C475" s="32"/>
      <x:c r="D475" s="32"/>
      <x:c r="E475" s="32"/>
      <x:c r="F475" s="23" t="str">
        <x:f>IFERROR(VLOOKUP(E475,'Plan kont'!$A$4:$B$35,2,FALSE),"")</x:f>
      </x:c>
      <x:c r="G475" s="40"/>
      <x:c r="H475" s="40"/>
      <x:c r="I475" s="32"/>
      <x:c r="J475" s="32"/>
      <x:c r="K475" s="23" t="str">
        <x:f>IF(B475="","",IF(ABS(SUMIF($B$4:$B$503,B475,$G$4:$G$503)-SUMIF($B$4:$B$503,B475,$H$4:$H$503))&lt;0.01,"OK","NIEZGODNY"))</x:f>
      </x:c>
    </x:row>
    <x:row r="476">
      <x:c r="A476" s="33"/>
      <x:c r="B476" s="32"/>
      <x:c r="C476" s="32"/>
      <x:c r="D476" s="32"/>
      <x:c r="E476" s="32"/>
      <x:c r="F476" s="23" t="str">
        <x:f>IFERROR(VLOOKUP(E476,'Plan kont'!$A$4:$B$35,2,FALSE),"")</x:f>
      </x:c>
      <x:c r="G476" s="40"/>
      <x:c r="H476" s="40"/>
      <x:c r="I476" s="32"/>
      <x:c r="J476" s="32"/>
      <x:c r="K476" s="23" t="str">
        <x:f>IF(B476="","",IF(ABS(SUMIF($B$4:$B$503,B476,$G$4:$G$503)-SUMIF($B$4:$B$503,B476,$H$4:$H$503))&lt;0.01,"OK","NIEZGODNY"))</x:f>
      </x:c>
    </x:row>
    <x:row r="477">
      <x:c r="A477" s="33"/>
      <x:c r="B477" s="32"/>
      <x:c r="C477" s="32"/>
      <x:c r="D477" s="32"/>
      <x:c r="E477" s="32"/>
      <x:c r="F477" s="23" t="str">
        <x:f>IFERROR(VLOOKUP(E477,'Plan kont'!$A$4:$B$35,2,FALSE),"")</x:f>
      </x:c>
      <x:c r="G477" s="40"/>
      <x:c r="H477" s="40"/>
      <x:c r="I477" s="32"/>
      <x:c r="J477" s="32"/>
      <x:c r="K477" s="23" t="str">
        <x:f>IF(B477="","",IF(ABS(SUMIF($B$4:$B$503,B477,$G$4:$G$503)-SUMIF($B$4:$B$503,B477,$H$4:$H$503))&lt;0.01,"OK","NIEZGODNY"))</x:f>
      </x:c>
    </x:row>
    <x:row r="478">
      <x:c r="A478" s="33"/>
      <x:c r="B478" s="32"/>
      <x:c r="C478" s="32"/>
      <x:c r="D478" s="32"/>
      <x:c r="E478" s="32"/>
      <x:c r="F478" s="23" t="str">
        <x:f>IFERROR(VLOOKUP(E478,'Plan kont'!$A$4:$B$35,2,FALSE),"")</x:f>
      </x:c>
      <x:c r="G478" s="40"/>
      <x:c r="H478" s="40"/>
      <x:c r="I478" s="32"/>
      <x:c r="J478" s="32"/>
      <x:c r="K478" s="23" t="str">
        <x:f>IF(B478="","",IF(ABS(SUMIF($B$4:$B$503,B478,$G$4:$G$503)-SUMIF($B$4:$B$503,B478,$H$4:$H$503))&lt;0.01,"OK","NIEZGODNY"))</x:f>
      </x:c>
    </x:row>
    <x:row r="479">
      <x:c r="A479" s="33"/>
      <x:c r="B479" s="32"/>
      <x:c r="C479" s="32"/>
      <x:c r="D479" s="32"/>
      <x:c r="E479" s="32"/>
      <x:c r="F479" s="23" t="str">
        <x:f>IFERROR(VLOOKUP(E479,'Plan kont'!$A$4:$B$35,2,FALSE),"")</x:f>
      </x:c>
      <x:c r="G479" s="40"/>
      <x:c r="H479" s="40"/>
      <x:c r="I479" s="32"/>
      <x:c r="J479" s="32"/>
      <x:c r="K479" s="23" t="str">
        <x:f>IF(B479="","",IF(ABS(SUMIF($B$4:$B$503,B479,$G$4:$G$503)-SUMIF($B$4:$B$503,B479,$H$4:$H$503))&lt;0.01,"OK","NIEZGODNY"))</x:f>
      </x:c>
    </x:row>
    <x:row r="480">
      <x:c r="A480" s="33"/>
      <x:c r="B480" s="32"/>
      <x:c r="C480" s="32"/>
      <x:c r="D480" s="32"/>
      <x:c r="E480" s="32"/>
      <x:c r="F480" s="23" t="str">
        <x:f>IFERROR(VLOOKUP(E480,'Plan kont'!$A$4:$B$35,2,FALSE),"")</x:f>
      </x:c>
      <x:c r="G480" s="40"/>
      <x:c r="H480" s="40"/>
      <x:c r="I480" s="32"/>
      <x:c r="J480" s="32"/>
      <x:c r="K480" s="23" t="str">
        <x:f>IF(B480="","",IF(ABS(SUMIF($B$4:$B$503,B480,$G$4:$G$503)-SUMIF($B$4:$B$503,B480,$H$4:$H$503))&lt;0.01,"OK","NIEZGODNY"))</x:f>
      </x:c>
    </x:row>
    <x:row r="481">
      <x:c r="A481" s="33"/>
      <x:c r="B481" s="32"/>
      <x:c r="C481" s="32"/>
      <x:c r="D481" s="32"/>
      <x:c r="E481" s="32"/>
      <x:c r="F481" s="23" t="str">
        <x:f>IFERROR(VLOOKUP(E481,'Plan kont'!$A$4:$B$35,2,FALSE),"")</x:f>
      </x:c>
      <x:c r="G481" s="40"/>
      <x:c r="H481" s="40"/>
      <x:c r="I481" s="32"/>
      <x:c r="J481" s="32"/>
      <x:c r="K481" s="23" t="str">
        <x:f>IF(B481="","",IF(ABS(SUMIF($B$4:$B$503,B481,$G$4:$G$503)-SUMIF($B$4:$B$503,B481,$H$4:$H$503))&lt;0.01,"OK","NIEZGODNY"))</x:f>
      </x:c>
    </x:row>
    <x:row r="482">
      <x:c r="A482" s="33"/>
      <x:c r="B482" s="32"/>
      <x:c r="C482" s="32"/>
      <x:c r="D482" s="32"/>
      <x:c r="E482" s="32"/>
      <x:c r="F482" s="23" t="str">
        <x:f>IFERROR(VLOOKUP(E482,'Plan kont'!$A$4:$B$35,2,FALSE),"")</x:f>
      </x:c>
      <x:c r="G482" s="40"/>
      <x:c r="H482" s="40"/>
      <x:c r="I482" s="32"/>
      <x:c r="J482" s="32"/>
      <x:c r="K482" s="23" t="str">
        <x:f>IF(B482="","",IF(ABS(SUMIF($B$4:$B$503,B482,$G$4:$G$503)-SUMIF($B$4:$B$503,B482,$H$4:$H$503))&lt;0.01,"OK","NIEZGODNY"))</x:f>
      </x:c>
    </x:row>
    <x:row r="483">
      <x:c r="A483" s="33"/>
      <x:c r="B483" s="32"/>
      <x:c r="C483" s="32"/>
      <x:c r="D483" s="32"/>
      <x:c r="E483" s="32"/>
      <x:c r="F483" s="23" t="str">
        <x:f>IFERROR(VLOOKUP(E483,'Plan kont'!$A$4:$B$35,2,FALSE),"")</x:f>
      </x:c>
      <x:c r="G483" s="40"/>
      <x:c r="H483" s="40"/>
      <x:c r="I483" s="32"/>
      <x:c r="J483" s="32"/>
      <x:c r="K483" s="23" t="str">
        <x:f>IF(B483="","",IF(ABS(SUMIF($B$4:$B$503,B483,$G$4:$G$503)-SUMIF($B$4:$B$503,B483,$H$4:$H$503))&lt;0.01,"OK","NIEZGODNY"))</x:f>
      </x:c>
    </x:row>
    <x:row r="484">
      <x:c r="A484" s="33"/>
      <x:c r="B484" s="32"/>
      <x:c r="C484" s="32"/>
      <x:c r="D484" s="32"/>
      <x:c r="E484" s="32"/>
      <x:c r="F484" s="23" t="str">
        <x:f>IFERROR(VLOOKUP(E484,'Plan kont'!$A$4:$B$35,2,FALSE),"")</x:f>
      </x:c>
      <x:c r="G484" s="40"/>
      <x:c r="H484" s="40"/>
      <x:c r="I484" s="32"/>
      <x:c r="J484" s="32"/>
      <x:c r="K484" s="23" t="str">
        <x:f>IF(B484="","",IF(ABS(SUMIF($B$4:$B$503,B484,$G$4:$G$503)-SUMIF($B$4:$B$503,B484,$H$4:$H$503))&lt;0.01,"OK","NIEZGODNY"))</x:f>
      </x:c>
    </x:row>
    <x:row r="485">
      <x:c r="A485" s="33"/>
      <x:c r="B485" s="32"/>
      <x:c r="C485" s="32"/>
      <x:c r="D485" s="32"/>
      <x:c r="E485" s="32"/>
      <x:c r="F485" s="23" t="str">
        <x:f>IFERROR(VLOOKUP(E485,'Plan kont'!$A$4:$B$35,2,FALSE),"")</x:f>
      </x:c>
      <x:c r="G485" s="40"/>
      <x:c r="H485" s="40"/>
      <x:c r="I485" s="32"/>
      <x:c r="J485" s="32"/>
      <x:c r="K485" s="23" t="str">
        <x:f>IF(B485="","",IF(ABS(SUMIF($B$4:$B$503,B485,$G$4:$G$503)-SUMIF($B$4:$B$503,B485,$H$4:$H$503))&lt;0.01,"OK","NIEZGODNY"))</x:f>
      </x:c>
    </x:row>
    <x:row r="486">
      <x:c r="A486" s="33"/>
      <x:c r="B486" s="32"/>
      <x:c r="C486" s="32"/>
      <x:c r="D486" s="32"/>
      <x:c r="E486" s="32"/>
      <x:c r="F486" s="23" t="str">
        <x:f>IFERROR(VLOOKUP(E486,'Plan kont'!$A$4:$B$35,2,FALSE),"")</x:f>
      </x:c>
      <x:c r="G486" s="40"/>
      <x:c r="H486" s="40"/>
      <x:c r="I486" s="32"/>
      <x:c r="J486" s="32"/>
      <x:c r="K486" s="23" t="str">
        <x:f>IF(B486="","",IF(ABS(SUMIF($B$4:$B$503,B486,$G$4:$G$503)-SUMIF($B$4:$B$503,B486,$H$4:$H$503))&lt;0.01,"OK","NIEZGODNY"))</x:f>
      </x:c>
    </x:row>
    <x:row r="487">
      <x:c r="A487" s="33"/>
      <x:c r="B487" s="32"/>
      <x:c r="C487" s="32"/>
      <x:c r="D487" s="32"/>
      <x:c r="E487" s="32"/>
      <x:c r="F487" s="23" t="str">
        <x:f>IFERROR(VLOOKUP(E487,'Plan kont'!$A$4:$B$35,2,FALSE),"")</x:f>
      </x:c>
      <x:c r="G487" s="40"/>
      <x:c r="H487" s="40"/>
      <x:c r="I487" s="32"/>
      <x:c r="J487" s="32"/>
      <x:c r="K487" s="23" t="str">
        <x:f>IF(B487="","",IF(ABS(SUMIF($B$4:$B$503,B487,$G$4:$G$503)-SUMIF($B$4:$B$503,B487,$H$4:$H$503))&lt;0.01,"OK","NIEZGODNY"))</x:f>
      </x:c>
    </x:row>
    <x:row r="488">
      <x:c r="A488" s="33"/>
      <x:c r="B488" s="32"/>
      <x:c r="C488" s="32"/>
      <x:c r="D488" s="32"/>
      <x:c r="E488" s="32"/>
      <x:c r="F488" s="23" t="str">
        <x:f>IFERROR(VLOOKUP(E488,'Plan kont'!$A$4:$B$35,2,FALSE),"")</x:f>
      </x:c>
      <x:c r="G488" s="40"/>
      <x:c r="H488" s="40"/>
      <x:c r="I488" s="32"/>
      <x:c r="J488" s="32"/>
      <x:c r="K488" s="23" t="str">
        <x:f>IF(B488="","",IF(ABS(SUMIF($B$4:$B$503,B488,$G$4:$G$503)-SUMIF($B$4:$B$503,B488,$H$4:$H$503))&lt;0.01,"OK","NIEZGODNY"))</x:f>
      </x:c>
    </x:row>
    <x:row r="489">
      <x:c r="A489" s="33"/>
      <x:c r="B489" s="32"/>
      <x:c r="C489" s="32"/>
      <x:c r="D489" s="32"/>
      <x:c r="E489" s="32"/>
      <x:c r="F489" s="23" t="str">
        <x:f>IFERROR(VLOOKUP(E489,'Plan kont'!$A$4:$B$35,2,FALSE),"")</x:f>
      </x:c>
      <x:c r="G489" s="40"/>
      <x:c r="H489" s="40"/>
      <x:c r="I489" s="32"/>
      <x:c r="J489" s="32"/>
      <x:c r="K489" s="23" t="str">
        <x:f>IF(B489="","",IF(ABS(SUMIF($B$4:$B$503,B489,$G$4:$G$503)-SUMIF($B$4:$B$503,B489,$H$4:$H$503))&lt;0.01,"OK","NIEZGODNY"))</x:f>
      </x:c>
    </x:row>
    <x:row r="490">
      <x:c r="A490" s="33"/>
      <x:c r="B490" s="32"/>
      <x:c r="C490" s="32"/>
      <x:c r="D490" s="32"/>
      <x:c r="E490" s="32"/>
      <x:c r="F490" s="23" t="str">
        <x:f>IFERROR(VLOOKUP(E490,'Plan kont'!$A$4:$B$35,2,FALSE),"")</x:f>
      </x:c>
      <x:c r="G490" s="40"/>
      <x:c r="H490" s="40"/>
      <x:c r="I490" s="32"/>
      <x:c r="J490" s="32"/>
      <x:c r="K490" s="23" t="str">
        <x:f>IF(B490="","",IF(ABS(SUMIF($B$4:$B$503,B490,$G$4:$G$503)-SUMIF($B$4:$B$503,B490,$H$4:$H$503))&lt;0.01,"OK","NIEZGODNY"))</x:f>
      </x:c>
    </x:row>
    <x:row r="491">
      <x:c r="A491" s="33"/>
      <x:c r="B491" s="32"/>
      <x:c r="C491" s="32"/>
      <x:c r="D491" s="32"/>
      <x:c r="E491" s="32"/>
      <x:c r="F491" s="23" t="str">
        <x:f>IFERROR(VLOOKUP(E491,'Plan kont'!$A$4:$B$35,2,FALSE),"")</x:f>
      </x:c>
      <x:c r="G491" s="40"/>
      <x:c r="H491" s="40"/>
      <x:c r="I491" s="32"/>
      <x:c r="J491" s="32"/>
      <x:c r="K491" s="23" t="str">
        <x:f>IF(B491="","",IF(ABS(SUMIF($B$4:$B$503,B491,$G$4:$G$503)-SUMIF($B$4:$B$503,B491,$H$4:$H$503))&lt;0.01,"OK","NIEZGODNY"))</x:f>
      </x:c>
    </x:row>
    <x:row r="492">
      <x:c r="A492" s="33"/>
      <x:c r="B492" s="32"/>
      <x:c r="C492" s="32"/>
      <x:c r="D492" s="32"/>
      <x:c r="E492" s="32"/>
      <x:c r="F492" s="23" t="str">
        <x:f>IFERROR(VLOOKUP(E492,'Plan kont'!$A$4:$B$35,2,FALSE),"")</x:f>
      </x:c>
      <x:c r="G492" s="40"/>
      <x:c r="H492" s="40"/>
      <x:c r="I492" s="32"/>
      <x:c r="J492" s="32"/>
      <x:c r="K492" s="23" t="str">
        <x:f>IF(B492="","",IF(ABS(SUMIF($B$4:$B$503,B492,$G$4:$G$503)-SUMIF($B$4:$B$503,B492,$H$4:$H$503))&lt;0.01,"OK","NIEZGODNY"))</x:f>
      </x:c>
    </x:row>
    <x:row r="493">
      <x:c r="A493" s="33"/>
      <x:c r="B493" s="32"/>
      <x:c r="C493" s="32"/>
      <x:c r="D493" s="32"/>
      <x:c r="E493" s="32"/>
      <x:c r="F493" s="23" t="str">
        <x:f>IFERROR(VLOOKUP(E493,'Plan kont'!$A$4:$B$35,2,FALSE),"")</x:f>
      </x:c>
      <x:c r="G493" s="40"/>
      <x:c r="H493" s="40"/>
      <x:c r="I493" s="32"/>
      <x:c r="J493" s="32"/>
      <x:c r="K493" s="23" t="str">
        <x:f>IF(B493="","",IF(ABS(SUMIF($B$4:$B$503,B493,$G$4:$G$503)-SUMIF($B$4:$B$503,B493,$H$4:$H$503))&lt;0.01,"OK","NIEZGODNY"))</x:f>
      </x:c>
    </x:row>
    <x:row r="494">
      <x:c r="A494" s="33"/>
      <x:c r="B494" s="32"/>
      <x:c r="C494" s="32"/>
      <x:c r="D494" s="32"/>
      <x:c r="E494" s="32"/>
      <x:c r="F494" s="23" t="str">
        <x:f>IFERROR(VLOOKUP(E494,'Plan kont'!$A$4:$B$35,2,FALSE),"")</x:f>
      </x:c>
      <x:c r="G494" s="40"/>
      <x:c r="H494" s="40"/>
      <x:c r="I494" s="32"/>
      <x:c r="J494" s="32"/>
      <x:c r="K494" s="23" t="str">
        <x:f>IF(B494="","",IF(ABS(SUMIF($B$4:$B$503,B494,$G$4:$G$503)-SUMIF($B$4:$B$503,B494,$H$4:$H$503))&lt;0.01,"OK","NIEZGODNY"))</x:f>
      </x:c>
    </x:row>
    <x:row r="495">
      <x:c r="A495" s="33"/>
      <x:c r="B495" s="32"/>
      <x:c r="C495" s="32"/>
      <x:c r="D495" s="32"/>
      <x:c r="E495" s="32"/>
      <x:c r="F495" s="23" t="str">
        <x:f>IFERROR(VLOOKUP(E495,'Plan kont'!$A$4:$B$35,2,FALSE),"")</x:f>
      </x:c>
      <x:c r="G495" s="40"/>
      <x:c r="H495" s="40"/>
      <x:c r="I495" s="32"/>
      <x:c r="J495" s="32"/>
      <x:c r="K495" s="23" t="str">
        <x:f>IF(B495="","",IF(ABS(SUMIF($B$4:$B$503,B495,$G$4:$G$503)-SUMIF($B$4:$B$503,B495,$H$4:$H$503))&lt;0.01,"OK","NIEZGODNY"))</x:f>
      </x:c>
    </x:row>
    <x:row r="496">
      <x:c r="A496" s="33"/>
      <x:c r="B496" s="32"/>
      <x:c r="C496" s="32"/>
      <x:c r="D496" s="32"/>
      <x:c r="E496" s="32"/>
      <x:c r="F496" s="23" t="str">
        <x:f>IFERROR(VLOOKUP(E496,'Plan kont'!$A$4:$B$35,2,FALSE),"")</x:f>
      </x:c>
      <x:c r="G496" s="40"/>
      <x:c r="H496" s="40"/>
      <x:c r="I496" s="32"/>
      <x:c r="J496" s="32"/>
      <x:c r="K496" s="23" t="str">
        <x:f>IF(B496="","",IF(ABS(SUMIF($B$4:$B$503,B496,$G$4:$G$503)-SUMIF($B$4:$B$503,B496,$H$4:$H$503))&lt;0.01,"OK","NIEZGODNY"))</x:f>
      </x:c>
    </x:row>
    <x:row r="497">
      <x:c r="A497" s="33"/>
      <x:c r="B497" s="32"/>
      <x:c r="C497" s="32"/>
      <x:c r="D497" s="32"/>
      <x:c r="E497" s="32"/>
      <x:c r="F497" s="23" t="str">
        <x:f>IFERROR(VLOOKUP(E497,'Plan kont'!$A$4:$B$35,2,FALSE),"")</x:f>
      </x:c>
      <x:c r="G497" s="40"/>
      <x:c r="H497" s="40"/>
      <x:c r="I497" s="32"/>
      <x:c r="J497" s="32"/>
      <x:c r="K497" s="23" t="str">
        <x:f>IF(B497="","",IF(ABS(SUMIF($B$4:$B$503,B497,$G$4:$G$503)-SUMIF($B$4:$B$503,B497,$H$4:$H$503))&lt;0.01,"OK","NIEZGODNY"))</x:f>
      </x:c>
    </x:row>
    <x:row r="498">
      <x:c r="A498" s="33"/>
      <x:c r="B498" s="32"/>
      <x:c r="C498" s="32"/>
      <x:c r="D498" s="32"/>
      <x:c r="E498" s="32"/>
      <x:c r="F498" s="23" t="str">
        <x:f>IFERROR(VLOOKUP(E498,'Plan kont'!$A$4:$B$35,2,FALSE),"")</x:f>
      </x:c>
      <x:c r="G498" s="40"/>
      <x:c r="H498" s="40"/>
      <x:c r="I498" s="32"/>
      <x:c r="J498" s="32"/>
      <x:c r="K498" s="23" t="str">
        <x:f>IF(B498="","",IF(ABS(SUMIF($B$4:$B$503,B498,$G$4:$G$503)-SUMIF($B$4:$B$503,B498,$H$4:$H$503))&lt;0.01,"OK","NIEZGODNY"))</x:f>
      </x:c>
    </x:row>
    <x:row r="499">
      <x:c r="A499" s="33"/>
      <x:c r="B499" s="32"/>
      <x:c r="C499" s="32"/>
      <x:c r="D499" s="32"/>
      <x:c r="E499" s="32"/>
      <x:c r="F499" s="23" t="str">
        <x:f>IFERROR(VLOOKUP(E499,'Plan kont'!$A$4:$B$35,2,FALSE),"")</x:f>
      </x:c>
      <x:c r="G499" s="40"/>
      <x:c r="H499" s="40"/>
      <x:c r="I499" s="32"/>
      <x:c r="J499" s="32"/>
      <x:c r="K499" s="23" t="str">
        <x:f>IF(B499="","",IF(ABS(SUMIF($B$4:$B$503,B499,$G$4:$G$503)-SUMIF($B$4:$B$503,B499,$H$4:$H$503))&lt;0.01,"OK","NIEZGODNY"))</x:f>
      </x:c>
    </x:row>
    <x:row r="500">
      <x:c r="A500" s="33"/>
      <x:c r="B500" s="32"/>
      <x:c r="C500" s="32"/>
      <x:c r="D500" s="32"/>
      <x:c r="E500" s="32"/>
      <x:c r="F500" s="23" t="str">
        <x:f>IFERROR(VLOOKUP(E500,'Plan kont'!$A$4:$B$35,2,FALSE),"")</x:f>
      </x:c>
      <x:c r="G500" s="40"/>
      <x:c r="H500" s="40"/>
      <x:c r="I500" s="32"/>
      <x:c r="J500" s="32"/>
      <x:c r="K500" s="23" t="str">
        <x:f>IF(B500="","",IF(ABS(SUMIF($B$4:$B$503,B500,$G$4:$G$503)-SUMIF($B$4:$B$503,B500,$H$4:$H$503))&lt;0.01,"OK","NIEZGODNY"))</x:f>
      </x:c>
    </x:row>
    <x:row r="501">
      <x:c r="A501" s="33"/>
      <x:c r="B501" s="32"/>
      <x:c r="C501" s="32"/>
      <x:c r="D501" s="32"/>
      <x:c r="E501" s="32"/>
      <x:c r="F501" s="23" t="str">
        <x:f>IFERROR(VLOOKUP(E501,'Plan kont'!$A$4:$B$35,2,FALSE),"")</x:f>
      </x:c>
      <x:c r="G501" s="40"/>
      <x:c r="H501" s="40"/>
      <x:c r="I501" s="32"/>
      <x:c r="J501" s="32"/>
      <x:c r="K501" s="23" t="str">
        <x:f>IF(B501="","",IF(ABS(SUMIF($B$4:$B$503,B501,$G$4:$G$503)-SUMIF($B$4:$B$503,B501,$H$4:$H$503))&lt;0.01,"OK","NIEZGODNY"))</x:f>
      </x:c>
    </x:row>
    <x:row r="502">
      <x:c r="A502" s="33"/>
      <x:c r="B502" s="32"/>
      <x:c r="C502" s="32"/>
      <x:c r="D502" s="32"/>
      <x:c r="E502" s="32"/>
      <x:c r="F502" s="23" t="str">
        <x:f>IFERROR(VLOOKUP(E502,'Plan kont'!$A$4:$B$35,2,FALSE),"")</x:f>
      </x:c>
      <x:c r="G502" s="40"/>
      <x:c r="H502" s="40"/>
      <x:c r="I502" s="32"/>
      <x:c r="J502" s="32"/>
      <x:c r="K502" s="23" t="str">
        <x:f>IF(B502="","",IF(ABS(SUMIF($B$4:$B$503,B502,$G$4:$G$503)-SUMIF($B$4:$B$503,B502,$H$4:$H$503))&lt;0.01,"OK","NIEZGODNY"))</x:f>
      </x:c>
    </x:row>
    <x:row r="503">
      <x:c r="A503" s="33"/>
      <x:c r="B503" s="32"/>
      <x:c r="C503" s="32"/>
      <x:c r="D503" s="32"/>
      <x:c r="E503" s="32"/>
      <x:c r="F503" s="23" t="str">
        <x:f>IFERROR(VLOOKUP(E503,'Plan kont'!$A$4:$B$35,2,FALSE),"")</x:f>
      </x:c>
      <x:c r="G503" s="40"/>
      <x:c r="H503" s="40"/>
      <x:c r="I503" s="32"/>
      <x:c r="J503" s="32"/>
      <x:c r="K503" s="23" t="str">
        <x:f>IF(B503="","",IF(ABS(SUMIF($B$4:$B$503,B503,$G$4:$G$503)-SUMIF($B$4:$B$503,B503,$H$4:$H$503))&lt;0.01,"OK","NIEZGODNY"))</x:f>
      </x:c>
    </x:row>
  </x:sheetData>
  <x:mergeCells>
    <x:mergeCell ref="A1:K1"/>
  </x:mergeCells>
  <x:conditionalFormatting sqref="K4:K503">
    <x:cfRule type="containsText" dxfId="0" priority="1" operator="containsText" text="NIEZGODNY"/>
  </x:conditionalFormatting>
  <x:dataValidations count="1">
    <x:dataValidation type="list" sqref="E4:E503">
      <x:formula1>'Plan kont'!$A$4:$A$35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B7A46A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4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</x:cols>
  <x:sheetData>
    <x:row r="1" ht="30" customHeight="1">
      <x:c r="A1" s="26" t="str">
        <x:v>ZESTAWIENIE OBROTÓW I SALD — OD POCZĄTKU DZIENNIKA</x:v>
      </x:c>
      <x:c r="B1" s="26"/>
      <x:c r="C1" s="26"/>
      <x:c r="D1" s="26"/>
      <x:c r="E1" s="26"/>
      <x:c r="F1" s="26"/>
      <x:c r="G1" s="26"/>
      <x:c r="H1" s="26"/>
    </x:row>
    <x:row r="2">
      <x:c r="A2" s="23"/>
      <x:c r="B2" s="23"/>
      <x:c r="C2" s="23"/>
      <x:c r="D2" s="23"/>
      <x:c r="E2" s="23"/>
      <x:c r="F2" s="23"/>
      <x:c r="G2" s="23"/>
      <x:c r="H2" s="23"/>
    </x:row>
    <x:row r="3" ht="32" customHeight="1">
      <x:c r="A3" s="31" t="str">
        <x:v>Konto</x:v>
      </x:c>
      <x:c r="B3" s="31" t="str">
        <x:v>Nazwa konta</x:v>
      </x:c>
      <x:c r="C3" s="31" t="str">
        <x:v>Obroty WN</x:v>
      </x:c>
      <x:c r="D3" s="31" t="str">
        <x:v>Obroty MA</x:v>
      </x:c>
      <x:c r="E3" s="31" t="str">
        <x:v>Saldo WN</x:v>
      </x:c>
      <x:c r="F3" s="31" t="str">
        <x:v>Saldo MA</x:v>
      </x:c>
      <x:c r="G3" s="31" t="str">
        <x:v>Różnica kontrolna</x:v>
      </x:c>
      <x:c r="H3" s="31" t="str">
        <x:v>Status</x:v>
      </x:c>
    </x:row>
    <x:row r="4">
      <x:c r="A4" s="23" t="str">
        <x:f>'Plan kont'!A4</x:f>
        <x:v>010</x:v>
      </x:c>
      <x:c r="B4" s="23" t="str">
        <x:f>'Plan kont'!B4</x:f>
        <x:v>Środki trwałe</x:v>
      </x:c>
      <x:c r="C4" s="44" t="n">
        <x:f>SUMIF('Dziennik'!$E$4:$E$503,A4,'Dziennik'!$G$4:$G$503)</x:f>
        <x:v>0</x:v>
      </x:c>
      <x:c r="D4" s="44" t="n">
        <x:f>SUMIF('Dziennik'!$E$4:$E$503,A4,'Dziennik'!$H$4:$H$503)</x:f>
        <x:v>0</x:v>
      </x:c>
      <x:c r="E4" s="44" t="n">
        <x:f>MAX(C4-D4,0)</x:f>
        <x:v>0</x:v>
      </x:c>
      <x:c r="F4" s="44" t="n">
        <x:f>MAX(D4-C4,0)</x:f>
        <x:v>0</x:v>
      </x:c>
      <x:c r="G4" s="44" t="n">
        <x:f>C4-D4-(E4-F4)</x:f>
        <x:v>0</x:v>
      </x:c>
      <x:c r="H4" s="23" t="str">
        <x:f>IF(ABS(G4)&lt;0.01,"OK","BŁĄD")</x:f>
        <x:v>OK</x:v>
      </x:c>
    </x:row>
    <x:row r="5">
      <x:c r="A5" s="23" t="str">
        <x:f>'Plan kont'!A5</x:f>
        <x:v>070</x:v>
      </x:c>
      <x:c r="B5" s="23" t="str">
        <x:f>'Plan kont'!B5</x:f>
        <x:v>Umorzenie środków trwałych</x:v>
      </x:c>
      <x:c r="C5" s="44" t="n">
        <x:f>SUMIF('Dziennik'!$E$4:$E$503,A5,'Dziennik'!$G$4:$G$503)</x:f>
        <x:v>0</x:v>
      </x:c>
      <x:c r="D5" s="44" t="n">
        <x:f>SUMIF('Dziennik'!$E$4:$E$503,A5,'Dziennik'!$H$4:$H$503)</x:f>
        <x:v>0</x:v>
      </x:c>
      <x:c r="E5" s="44" t="n">
        <x:f>MAX(C5-D5,0)</x:f>
        <x:v>0</x:v>
      </x:c>
      <x:c r="F5" s="44" t="n">
        <x:f>MAX(D5-C5,0)</x:f>
        <x:v>0</x:v>
      </x:c>
      <x:c r="G5" s="44" t="n">
        <x:f>C5-D5-(E5-F5)</x:f>
        <x:v>0</x:v>
      </x:c>
      <x:c r="H5" s="23" t="str">
        <x:f>IF(ABS(G5)&lt;0.01,"OK","BŁĄD")</x:f>
        <x:v>OK</x:v>
      </x:c>
    </x:row>
    <x:row r="6">
      <x:c r="A6" s="23" t="str">
        <x:f>'Plan kont'!A6</x:f>
        <x:v>100</x:v>
      </x:c>
      <x:c r="B6" s="23" t="str">
        <x:f>'Plan kont'!B6</x:f>
        <x:v>Kasa PLN</x:v>
      </x:c>
      <x:c r="C6" s="44" t="n">
        <x:f>SUMIF('Dziennik'!$E$4:$E$503,A6,'Dziennik'!$G$4:$G$503)</x:f>
        <x:v>0</x:v>
      </x:c>
      <x:c r="D6" s="44" t="n">
        <x:f>SUMIF('Dziennik'!$E$4:$E$503,A6,'Dziennik'!$H$4:$H$503)</x:f>
        <x:v>0</x:v>
      </x:c>
      <x:c r="E6" s="44" t="n">
        <x:f>MAX(C6-D6,0)</x:f>
        <x:v>0</x:v>
      </x:c>
      <x:c r="F6" s="44" t="n">
        <x:f>MAX(D6-C6,0)</x:f>
        <x:v>0</x:v>
      </x:c>
      <x:c r="G6" s="44" t="n">
        <x:f>C6-D6-(E6-F6)</x:f>
        <x:v>0</x:v>
      </x:c>
      <x:c r="H6" s="23" t="str">
        <x:f>IF(ABS(G6)&lt;0.01,"OK","BŁĄD")</x:f>
        <x:v>OK</x:v>
      </x:c>
    </x:row>
    <x:row r="7">
      <x:c r="A7" s="23" t="str">
        <x:f>'Plan kont'!A7</x:f>
        <x:v>130</x:v>
      </x:c>
      <x:c r="B7" s="23" t="str">
        <x:f>'Plan kont'!B7</x:f>
        <x:v>Rachunek bankowy PLN</x:v>
      </x:c>
      <x:c r="C7" s="44" t="n">
        <x:f>SUMIF('Dziennik'!$E$4:$E$503,A7,'Dziennik'!$G$4:$G$503)</x:f>
        <x:v>0</x:v>
      </x:c>
      <x:c r="D7" s="44" t="n">
        <x:f>SUMIF('Dziennik'!$E$4:$E$503,A7,'Dziennik'!$H$4:$H$503)</x:f>
        <x:v>0</x:v>
      </x:c>
      <x:c r="E7" s="44" t="n">
        <x:f>MAX(C7-D7,0)</x:f>
        <x:v>0</x:v>
      </x:c>
      <x:c r="F7" s="44" t="n">
        <x:f>MAX(D7-C7,0)</x:f>
        <x:v>0</x:v>
      </x:c>
      <x:c r="G7" s="44" t="n">
        <x:f>C7-D7-(E7-F7)</x:f>
        <x:v>0</x:v>
      </x:c>
      <x:c r="H7" s="23" t="str">
        <x:f>IF(ABS(G7)&lt;0.01,"OK","BŁĄD")</x:f>
        <x:v>OK</x:v>
      </x:c>
    </x:row>
    <x:row r="8">
      <x:c r="A8" s="23" t="str">
        <x:f>'Plan kont'!A8</x:f>
        <x:v>201</x:v>
      </x:c>
      <x:c r="B8" s="23" t="str">
        <x:f>'Plan kont'!B8</x:f>
        <x:v>Należności od odbiorców</x:v>
      </x:c>
      <x:c r="C8" s="44" t="n">
        <x:f>SUMIF('Dziennik'!$E$4:$E$503,A8,'Dziennik'!$G$4:$G$503)</x:f>
        <x:v>0</x:v>
      </x:c>
      <x:c r="D8" s="44" t="n">
        <x:f>SUMIF('Dziennik'!$E$4:$E$503,A8,'Dziennik'!$H$4:$H$503)</x:f>
        <x:v>0</x:v>
      </x:c>
      <x:c r="E8" s="44" t="n">
        <x:f>MAX(C8-D8,0)</x:f>
        <x:v>0</x:v>
      </x:c>
      <x:c r="F8" s="44" t="n">
        <x:f>MAX(D8-C8,0)</x:f>
        <x:v>0</x:v>
      </x:c>
      <x:c r="G8" s="44" t="n">
        <x:f>C8-D8-(E8-F8)</x:f>
        <x:v>0</x:v>
      </x:c>
      <x:c r="H8" s="23" t="str">
        <x:f>IF(ABS(G8)&lt;0.01,"OK","BŁĄD")</x:f>
        <x:v>OK</x:v>
      </x:c>
    </x:row>
    <x:row r="9">
      <x:c r="A9" s="23" t="str">
        <x:f>'Plan kont'!A9</x:f>
        <x:v>202</x:v>
      </x:c>
      <x:c r="B9" s="23" t="str">
        <x:f>'Plan kont'!B9</x:f>
        <x:v>Zobowiązania wobec dostawców</x:v>
      </x:c>
      <x:c r="C9" s="44" t="n">
        <x:f>SUMIF('Dziennik'!$E$4:$E$503,A9,'Dziennik'!$G$4:$G$503)</x:f>
        <x:v>0</x:v>
      </x:c>
      <x:c r="D9" s="44" t="n">
        <x:f>SUMIF('Dziennik'!$E$4:$E$503,A9,'Dziennik'!$H$4:$H$503)</x:f>
        <x:v>0</x:v>
      </x:c>
      <x:c r="E9" s="44" t="n">
        <x:f>MAX(C9-D9,0)</x:f>
        <x:v>0</x:v>
      </x:c>
      <x:c r="F9" s="44" t="n">
        <x:f>MAX(D9-C9,0)</x:f>
        <x:v>0</x:v>
      </x:c>
      <x:c r="G9" s="44" t="n">
        <x:f>C9-D9-(E9-F9)</x:f>
        <x:v>0</x:v>
      </x:c>
      <x:c r="H9" s="23" t="str">
        <x:f>IF(ABS(G9)&lt;0.01,"OK","BŁĄD")</x:f>
        <x:v>OK</x:v>
      </x:c>
    </x:row>
    <x:row r="10">
      <x:c r="A10" s="23" t="str">
        <x:f>'Plan kont'!A10</x:f>
        <x:v>221</x:v>
      </x:c>
      <x:c r="B10" s="23" t="str">
        <x:f>'Plan kont'!B10</x:f>
        <x:v>VAT naliczony</x:v>
      </x:c>
      <x:c r="C10" s="44" t="n">
        <x:f>SUMIF('Dziennik'!$E$4:$E$503,A10,'Dziennik'!$G$4:$G$503)</x:f>
        <x:v>0</x:v>
      </x:c>
      <x:c r="D10" s="44" t="n">
        <x:f>SUMIF('Dziennik'!$E$4:$E$503,A10,'Dziennik'!$H$4:$H$503)</x:f>
        <x:v>0</x:v>
      </x:c>
      <x:c r="E10" s="44" t="n">
        <x:f>MAX(C10-D10,0)</x:f>
        <x:v>0</x:v>
      </x:c>
      <x:c r="F10" s="44" t="n">
        <x:f>MAX(D10-C10,0)</x:f>
        <x:v>0</x:v>
      </x:c>
      <x:c r="G10" s="44" t="n">
        <x:f>C10-D10-(E10-F10)</x:f>
        <x:v>0</x:v>
      </x:c>
      <x:c r="H10" s="23" t="str">
        <x:f>IF(ABS(G10)&lt;0.01,"OK","BŁĄD")</x:f>
        <x:v>OK</x:v>
      </x:c>
    </x:row>
    <x:row r="11">
      <x:c r="A11" s="23" t="str">
        <x:f>'Plan kont'!A11</x:f>
        <x:v>222</x:v>
      </x:c>
      <x:c r="B11" s="23" t="str">
        <x:f>'Plan kont'!B11</x:f>
        <x:v>VAT należny</x:v>
      </x:c>
      <x:c r="C11" s="44" t="n">
        <x:f>SUMIF('Dziennik'!$E$4:$E$503,A11,'Dziennik'!$G$4:$G$503)</x:f>
        <x:v>0</x:v>
      </x:c>
      <x:c r="D11" s="44" t="n">
        <x:f>SUMIF('Dziennik'!$E$4:$E$503,A11,'Dziennik'!$H$4:$H$503)</x:f>
        <x:v>0</x:v>
      </x:c>
      <x:c r="E11" s="44" t="n">
        <x:f>MAX(C11-D11,0)</x:f>
        <x:v>0</x:v>
      </x:c>
      <x:c r="F11" s="44" t="n">
        <x:f>MAX(D11-C11,0)</x:f>
        <x:v>0</x:v>
      </x:c>
      <x:c r="G11" s="44" t="n">
        <x:f>C11-D11-(E11-F11)</x:f>
        <x:v>0</x:v>
      </x:c>
      <x:c r="H11" s="23" t="str">
        <x:f>IF(ABS(G11)&lt;0.01,"OK","BŁĄD")</x:f>
        <x:v>OK</x:v>
      </x:c>
    </x:row>
    <x:row r="12">
      <x:c r="A12" s="23" t="str">
        <x:f>'Plan kont'!A12</x:f>
        <x:v>231</x:v>
      </x:c>
      <x:c r="B12" s="23" t="str">
        <x:f>'Plan kont'!B12</x:f>
        <x:v>Rozrachunki z tytułu wynagrodzeń</x:v>
      </x:c>
      <x:c r="C12" s="44" t="n">
        <x:f>SUMIF('Dziennik'!$E$4:$E$503,A12,'Dziennik'!$G$4:$G$503)</x:f>
        <x:v>0</x:v>
      </x:c>
      <x:c r="D12" s="44" t="n">
        <x:f>SUMIF('Dziennik'!$E$4:$E$503,A12,'Dziennik'!$H$4:$H$503)</x:f>
        <x:v>0</x:v>
      </x:c>
      <x:c r="E12" s="44" t="n">
        <x:f>MAX(C12-D12,0)</x:f>
        <x:v>0</x:v>
      </x:c>
      <x:c r="F12" s="44" t="n">
        <x:f>MAX(D12-C12,0)</x:f>
        <x:v>0</x:v>
      </x:c>
      <x:c r="G12" s="44" t="n">
        <x:f>C12-D12-(E12-F12)</x:f>
        <x:v>0</x:v>
      </x:c>
      <x:c r="H12" s="23" t="str">
        <x:f>IF(ABS(G12)&lt;0.01,"OK","BŁĄD")</x:f>
        <x:v>OK</x:v>
      </x:c>
    </x:row>
    <x:row r="13">
      <x:c r="A13" s="23" t="str">
        <x:f>'Plan kont'!A13</x:f>
        <x:v>240</x:v>
      </x:c>
      <x:c r="B13" s="23" t="str">
        <x:f>'Plan kont'!B13</x:f>
        <x:v>Pozostałe rozrachunki</x:v>
      </x:c>
      <x:c r="C13" s="44" t="n">
        <x:f>SUMIF('Dziennik'!$E$4:$E$503,A13,'Dziennik'!$G$4:$G$503)</x:f>
        <x:v>0</x:v>
      </x:c>
      <x:c r="D13" s="44" t="n">
        <x:f>SUMIF('Dziennik'!$E$4:$E$503,A13,'Dziennik'!$H$4:$H$503)</x:f>
        <x:v>0</x:v>
      </x:c>
      <x:c r="E13" s="44" t="n">
        <x:f>MAX(C13-D13,0)</x:f>
        <x:v>0</x:v>
      </x:c>
      <x:c r="F13" s="44" t="n">
        <x:f>MAX(D13-C13,0)</x:f>
        <x:v>0</x:v>
      </x:c>
      <x:c r="G13" s="44" t="n">
        <x:f>C13-D13-(E13-F13)</x:f>
        <x:v>0</x:v>
      </x:c>
      <x:c r="H13" s="23" t="str">
        <x:f>IF(ABS(G13)&lt;0.01,"OK","BŁĄD")</x:f>
        <x:v>OK</x:v>
      </x:c>
    </x:row>
    <x:row r="14">
      <x:c r="A14" s="23" t="str">
        <x:f>'Plan kont'!A14</x:f>
        <x:v>300</x:v>
      </x:c>
      <x:c r="B14" s="23" t="str">
        <x:f>'Plan kont'!B14</x:f>
        <x:v>Rozliczenie zakupu</x:v>
      </x:c>
      <x:c r="C14" s="44" t="n">
        <x:f>SUMIF('Dziennik'!$E$4:$E$503,A14,'Dziennik'!$G$4:$G$503)</x:f>
        <x:v>0</x:v>
      </x:c>
      <x:c r="D14" s="44" t="n">
        <x:f>SUMIF('Dziennik'!$E$4:$E$503,A14,'Dziennik'!$H$4:$H$503)</x:f>
        <x:v>0</x:v>
      </x:c>
      <x:c r="E14" s="44" t="n">
        <x:f>MAX(C14-D14,0)</x:f>
        <x:v>0</x:v>
      </x:c>
      <x:c r="F14" s="44" t="n">
        <x:f>MAX(D14-C14,0)</x:f>
        <x:v>0</x:v>
      </x:c>
      <x:c r="G14" s="44" t="n">
        <x:f>C14-D14-(E14-F14)</x:f>
        <x:v>0</x:v>
      </x:c>
      <x:c r="H14" s="23" t="str">
        <x:f>IF(ABS(G14)&lt;0.01,"OK","BŁĄD")</x:f>
        <x:v>OK</x:v>
      </x:c>
    </x:row>
    <x:row r="15">
      <x:c r="A15" s="23" t="str">
        <x:f>'Plan kont'!A15</x:f>
        <x:v>310</x:v>
      </x:c>
      <x:c r="B15" s="23" t="str">
        <x:f>'Plan kont'!B15</x:f>
        <x:v>Materiały i towary</x:v>
      </x:c>
      <x:c r="C15" s="44" t="n">
        <x:f>SUMIF('Dziennik'!$E$4:$E$503,A15,'Dziennik'!$G$4:$G$503)</x:f>
        <x:v>0</x:v>
      </x:c>
      <x:c r="D15" s="44" t="n">
        <x:f>SUMIF('Dziennik'!$E$4:$E$503,A15,'Dziennik'!$H$4:$H$503)</x:f>
        <x:v>0</x:v>
      </x:c>
      <x:c r="E15" s="44" t="n">
        <x:f>MAX(C15-D15,0)</x:f>
        <x:v>0</x:v>
      </x:c>
      <x:c r="F15" s="44" t="n">
        <x:f>MAX(D15-C15,0)</x:f>
        <x:v>0</x:v>
      </x:c>
      <x:c r="G15" s="44" t="n">
        <x:f>C15-D15-(E15-F15)</x:f>
        <x:v>0</x:v>
      </x:c>
      <x:c r="H15" s="23" t="str">
        <x:f>IF(ABS(G15)&lt;0.01,"OK","BŁĄD")</x:f>
        <x:v>OK</x:v>
      </x:c>
    </x:row>
    <x:row r="16">
      <x:c r="A16" s="23" t="str">
        <x:f>'Plan kont'!A16</x:f>
        <x:v>400</x:v>
      </x:c>
      <x:c r="B16" s="23" t="str">
        <x:f>'Plan kont'!B16</x:f>
        <x:v>Amortyzacja</x:v>
      </x:c>
      <x:c r="C16" s="44" t="n">
        <x:f>SUMIF('Dziennik'!$E$4:$E$503,A16,'Dziennik'!$G$4:$G$503)</x:f>
        <x:v>0</x:v>
      </x:c>
      <x:c r="D16" s="44" t="n">
        <x:f>SUMIF('Dziennik'!$E$4:$E$503,A16,'Dziennik'!$H$4:$H$503)</x:f>
        <x:v>0</x:v>
      </x:c>
      <x:c r="E16" s="44" t="n">
        <x:f>MAX(C16-D16,0)</x:f>
        <x:v>0</x:v>
      </x:c>
      <x:c r="F16" s="44" t="n">
        <x:f>MAX(D16-C16,0)</x:f>
        <x:v>0</x:v>
      </x:c>
      <x:c r="G16" s="44" t="n">
        <x:f>C16-D16-(E16-F16)</x:f>
        <x:v>0</x:v>
      </x:c>
      <x:c r="H16" s="23" t="str">
        <x:f>IF(ABS(G16)&lt;0.01,"OK","BŁĄD")</x:f>
        <x:v>OK</x:v>
      </x:c>
    </x:row>
    <x:row r="17">
      <x:c r="A17" s="23" t="str">
        <x:f>'Plan kont'!A17</x:f>
        <x:v>401</x:v>
      </x:c>
      <x:c r="B17" s="23" t="str">
        <x:f>'Plan kont'!B17</x:f>
        <x:v>Zużycie materiałów i energii</x:v>
      </x:c>
      <x:c r="C17" s="44" t="n">
        <x:f>SUMIF('Dziennik'!$E$4:$E$503,A17,'Dziennik'!$G$4:$G$503)</x:f>
        <x:v>0</x:v>
      </x:c>
      <x:c r="D17" s="44" t="n">
        <x:f>SUMIF('Dziennik'!$E$4:$E$503,A17,'Dziennik'!$H$4:$H$503)</x:f>
        <x:v>0</x:v>
      </x:c>
      <x:c r="E17" s="44" t="n">
        <x:f>MAX(C17-D17,0)</x:f>
        <x:v>0</x:v>
      </x:c>
      <x:c r="F17" s="44" t="n">
        <x:f>MAX(D17-C17,0)</x:f>
        <x:v>0</x:v>
      </x:c>
      <x:c r="G17" s="44" t="n">
        <x:f>C17-D17-(E17-F17)</x:f>
        <x:v>0</x:v>
      </x:c>
      <x:c r="H17" s="23" t="str">
        <x:f>IF(ABS(G17)&lt;0.01,"OK","BŁĄD")</x:f>
        <x:v>OK</x:v>
      </x:c>
    </x:row>
    <x:row r="18">
      <x:c r="A18" s="23" t="str">
        <x:f>'Plan kont'!A18</x:f>
        <x:v>402</x:v>
      </x:c>
      <x:c r="B18" s="23" t="str">
        <x:f>'Plan kont'!B18</x:f>
        <x:v>Usługi obce</x:v>
      </x:c>
      <x:c r="C18" s="44" t="n">
        <x:f>SUMIF('Dziennik'!$E$4:$E$503,A18,'Dziennik'!$G$4:$G$503)</x:f>
        <x:v>0</x:v>
      </x:c>
      <x:c r="D18" s="44" t="n">
        <x:f>SUMIF('Dziennik'!$E$4:$E$503,A18,'Dziennik'!$H$4:$H$503)</x:f>
        <x:v>0</x:v>
      </x:c>
      <x:c r="E18" s="44" t="n">
        <x:f>MAX(C18-D18,0)</x:f>
        <x:v>0</x:v>
      </x:c>
      <x:c r="F18" s="44" t="n">
        <x:f>MAX(D18-C18,0)</x:f>
        <x:v>0</x:v>
      </x:c>
      <x:c r="G18" s="44" t="n">
        <x:f>C18-D18-(E18-F18)</x:f>
        <x:v>0</x:v>
      </x:c>
      <x:c r="H18" s="23" t="str">
        <x:f>IF(ABS(G18)&lt;0.01,"OK","BŁĄD")</x:f>
        <x:v>OK</x:v>
      </x:c>
    </x:row>
    <x:row r="19">
      <x:c r="A19" s="23" t="str">
        <x:f>'Plan kont'!A19</x:f>
        <x:v>403</x:v>
      </x:c>
      <x:c r="B19" s="23" t="str">
        <x:f>'Plan kont'!B19</x:f>
        <x:v>Podatki i opłaty</x:v>
      </x:c>
      <x:c r="C19" s="44" t="n">
        <x:f>SUMIF('Dziennik'!$E$4:$E$503,A19,'Dziennik'!$G$4:$G$503)</x:f>
        <x:v>0</x:v>
      </x:c>
      <x:c r="D19" s="44" t="n">
        <x:f>SUMIF('Dziennik'!$E$4:$E$503,A19,'Dziennik'!$H$4:$H$503)</x:f>
        <x:v>0</x:v>
      </x:c>
      <x:c r="E19" s="44" t="n">
        <x:f>MAX(C19-D19,0)</x:f>
        <x:v>0</x:v>
      </x:c>
      <x:c r="F19" s="44" t="n">
        <x:f>MAX(D19-C19,0)</x:f>
        <x:v>0</x:v>
      </x:c>
      <x:c r="G19" s="44" t="n">
        <x:f>C19-D19-(E19-F19)</x:f>
        <x:v>0</x:v>
      </x:c>
      <x:c r="H19" s="23" t="str">
        <x:f>IF(ABS(G19)&lt;0.01,"OK","BŁĄD")</x:f>
        <x:v>OK</x:v>
      </x:c>
    </x:row>
    <x:row r="20">
      <x:c r="A20" s="23" t="str">
        <x:f>'Plan kont'!A20</x:f>
        <x:v>404</x:v>
      </x:c>
      <x:c r="B20" s="23" t="str">
        <x:f>'Plan kont'!B20</x:f>
        <x:v>Wynagrodzenia</x:v>
      </x:c>
      <x:c r="C20" s="44" t="n">
        <x:f>SUMIF('Dziennik'!$E$4:$E$503,A20,'Dziennik'!$G$4:$G$503)</x:f>
        <x:v>0</x:v>
      </x:c>
      <x:c r="D20" s="44" t="n">
        <x:f>SUMIF('Dziennik'!$E$4:$E$503,A20,'Dziennik'!$H$4:$H$503)</x:f>
        <x:v>0</x:v>
      </x:c>
      <x:c r="E20" s="44" t="n">
        <x:f>MAX(C20-D20,0)</x:f>
        <x:v>0</x:v>
      </x:c>
      <x:c r="F20" s="44" t="n">
        <x:f>MAX(D20-C20,0)</x:f>
        <x:v>0</x:v>
      </x:c>
      <x:c r="G20" s="44" t="n">
        <x:f>C20-D20-(E20-F20)</x:f>
        <x:v>0</x:v>
      </x:c>
      <x:c r="H20" s="23" t="str">
        <x:f>IF(ABS(G20)&lt;0.01,"OK","BŁĄD")</x:f>
        <x:v>OK</x:v>
      </x:c>
    </x:row>
    <x:row r="21">
      <x:c r="A21" s="23" t="str">
        <x:f>'Plan kont'!A21</x:f>
        <x:v>405</x:v>
      </x:c>
      <x:c r="B21" s="23" t="str">
        <x:f>'Plan kont'!B21</x:f>
        <x:v>Ubezpieczenia społeczne i inne świadczenia</x:v>
      </x:c>
      <x:c r="C21" s="44" t="n">
        <x:f>SUMIF('Dziennik'!$E$4:$E$503,A21,'Dziennik'!$G$4:$G$503)</x:f>
        <x:v>0</x:v>
      </x:c>
      <x:c r="D21" s="44" t="n">
        <x:f>SUMIF('Dziennik'!$E$4:$E$503,A21,'Dziennik'!$H$4:$H$503)</x:f>
        <x:v>0</x:v>
      </x:c>
      <x:c r="E21" s="44" t="n">
        <x:f>MAX(C21-D21,0)</x:f>
        <x:v>0</x:v>
      </x:c>
      <x:c r="F21" s="44" t="n">
        <x:f>MAX(D21-C21,0)</x:f>
        <x:v>0</x:v>
      </x:c>
      <x:c r="G21" s="44" t="n">
        <x:f>C21-D21-(E21-F21)</x:f>
        <x:v>0</x:v>
      </x:c>
      <x:c r="H21" s="23" t="str">
        <x:f>IF(ABS(G21)&lt;0.01,"OK","BŁĄD")</x:f>
        <x:v>OK</x:v>
      </x:c>
    </x:row>
    <x:row r="22">
      <x:c r="A22" s="23" t="str">
        <x:f>'Plan kont'!A22</x:f>
        <x:v>409</x:v>
      </x:c>
      <x:c r="B22" s="23" t="str">
        <x:f>'Plan kont'!B22</x:f>
        <x:v>Pozostałe koszty rodzajowe</x:v>
      </x:c>
      <x:c r="C22" s="44" t="n">
        <x:f>SUMIF('Dziennik'!$E$4:$E$503,A22,'Dziennik'!$G$4:$G$503)</x:f>
        <x:v>0</x:v>
      </x:c>
      <x:c r="D22" s="44" t="n">
        <x:f>SUMIF('Dziennik'!$E$4:$E$503,A22,'Dziennik'!$H$4:$H$503)</x:f>
        <x:v>0</x:v>
      </x:c>
      <x:c r="E22" s="44" t="n">
        <x:f>MAX(C22-D22,0)</x:f>
        <x:v>0</x:v>
      </x:c>
      <x:c r="F22" s="44" t="n">
        <x:f>MAX(D22-C22,0)</x:f>
        <x:v>0</x:v>
      </x:c>
      <x:c r="G22" s="44" t="n">
        <x:f>C22-D22-(E22-F22)</x:f>
        <x:v>0</x:v>
      </x:c>
      <x:c r="H22" s="23" t="str">
        <x:f>IF(ABS(G22)&lt;0.01,"OK","BŁĄD")</x:f>
        <x:v>OK</x:v>
      </x:c>
    </x:row>
    <x:row r="23">
      <x:c r="A23" s="23" t="str">
        <x:f>'Plan kont'!A23</x:f>
        <x:v>490</x:v>
      </x:c>
      <x:c r="B23" s="23" t="str">
        <x:f>'Plan kont'!B23</x:f>
        <x:v>Rozliczenie kosztów</x:v>
      </x:c>
      <x:c r="C23" s="44" t="n">
        <x:f>SUMIF('Dziennik'!$E$4:$E$503,A23,'Dziennik'!$G$4:$G$503)</x:f>
        <x:v>0</x:v>
      </x:c>
      <x:c r="D23" s="44" t="n">
        <x:f>SUMIF('Dziennik'!$E$4:$E$503,A23,'Dziennik'!$H$4:$H$503)</x:f>
        <x:v>0</x:v>
      </x:c>
      <x:c r="E23" s="44" t="n">
        <x:f>MAX(C23-D23,0)</x:f>
        <x:v>0</x:v>
      </x:c>
      <x:c r="F23" s="44" t="n">
        <x:f>MAX(D23-C23,0)</x:f>
        <x:v>0</x:v>
      </x:c>
      <x:c r="G23" s="44" t="n">
        <x:f>C23-D23-(E23-F23)</x:f>
        <x:v>0</x:v>
      </x:c>
      <x:c r="H23" s="23" t="str">
        <x:f>IF(ABS(G23)&lt;0.01,"OK","BŁĄD")</x:f>
        <x:v>OK</x:v>
      </x:c>
    </x:row>
    <x:row r="24">
      <x:c r="A24" s="23" t="str">
        <x:f>'Plan kont'!A24</x:f>
        <x:v>700</x:v>
      </x:c>
      <x:c r="B24" s="23" t="str">
        <x:f>'Plan kont'!B24</x:f>
        <x:v>Przychody ze sprzedaży produktów</x:v>
      </x:c>
      <x:c r="C24" s="44" t="n">
        <x:f>SUMIF('Dziennik'!$E$4:$E$503,A24,'Dziennik'!$G$4:$G$503)</x:f>
        <x:v>0</x:v>
      </x:c>
      <x:c r="D24" s="44" t="n">
        <x:f>SUMIF('Dziennik'!$E$4:$E$503,A24,'Dziennik'!$H$4:$H$503)</x:f>
        <x:v>0</x:v>
      </x:c>
      <x:c r="E24" s="44" t="n">
        <x:f>MAX(C24-D24,0)</x:f>
        <x:v>0</x:v>
      </x:c>
      <x:c r="F24" s="44" t="n">
        <x:f>MAX(D24-C24,0)</x:f>
        <x:v>0</x:v>
      </x:c>
      <x:c r="G24" s="44" t="n">
        <x:f>C24-D24-(E24-F24)</x:f>
        <x:v>0</x:v>
      </x:c>
      <x:c r="H24" s="23" t="str">
        <x:f>IF(ABS(G24)&lt;0.01,"OK","BŁĄD")</x:f>
        <x:v>OK</x:v>
      </x:c>
    </x:row>
    <x:row r="25">
      <x:c r="A25" s="23" t="str">
        <x:f>'Plan kont'!A25</x:f>
        <x:v>701</x:v>
      </x:c>
      <x:c r="B25" s="23" t="str">
        <x:f>'Plan kont'!B25</x:f>
        <x:v>Przychody ze sprzedaży usług</x:v>
      </x:c>
      <x:c r="C25" s="44" t="n">
        <x:f>SUMIF('Dziennik'!$E$4:$E$503,A25,'Dziennik'!$G$4:$G$503)</x:f>
        <x:v>0</x:v>
      </x:c>
      <x:c r="D25" s="44" t="n">
        <x:f>SUMIF('Dziennik'!$E$4:$E$503,A25,'Dziennik'!$H$4:$H$503)</x:f>
        <x:v>0</x:v>
      </x:c>
      <x:c r="E25" s="44" t="n">
        <x:f>MAX(C25-D25,0)</x:f>
        <x:v>0</x:v>
      </x:c>
      <x:c r="F25" s="44" t="n">
        <x:f>MAX(D25-C25,0)</x:f>
        <x:v>0</x:v>
      </x:c>
      <x:c r="G25" s="44" t="n">
        <x:f>C25-D25-(E25-F25)</x:f>
        <x:v>0</x:v>
      </x:c>
      <x:c r="H25" s="23" t="str">
        <x:f>IF(ABS(G25)&lt;0.01,"OK","BŁĄD")</x:f>
        <x:v>OK</x:v>
      </x:c>
    </x:row>
    <x:row r="26">
      <x:c r="A26" s="23" t="str">
        <x:f>'Plan kont'!A26</x:f>
        <x:v>730</x:v>
      </x:c>
      <x:c r="B26" s="23" t="str">
        <x:f>'Plan kont'!B26</x:f>
        <x:v>Przychody ze sprzedaży towarów</x:v>
      </x:c>
      <x:c r="C26" s="44" t="n">
        <x:f>SUMIF('Dziennik'!$E$4:$E$503,A26,'Dziennik'!$G$4:$G$503)</x:f>
        <x:v>0</x:v>
      </x:c>
      <x:c r="D26" s="44" t="n">
        <x:f>SUMIF('Dziennik'!$E$4:$E$503,A26,'Dziennik'!$H$4:$H$503)</x:f>
        <x:v>0</x:v>
      </x:c>
      <x:c r="E26" s="44" t="n">
        <x:f>MAX(C26-D26,0)</x:f>
        <x:v>0</x:v>
      </x:c>
      <x:c r="F26" s="44" t="n">
        <x:f>MAX(D26-C26,0)</x:f>
        <x:v>0</x:v>
      </x:c>
      <x:c r="G26" s="44" t="n">
        <x:f>C26-D26-(E26-F26)</x:f>
        <x:v>0</x:v>
      </x:c>
      <x:c r="H26" s="23" t="str">
        <x:f>IF(ABS(G26)&lt;0.01,"OK","BŁĄD")</x:f>
        <x:v>OK</x:v>
      </x:c>
    </x:row>
    <x:row r="27">
      <x:c r="A27" s="23" t="str">
        <x:f>'Plan kont'!A27</x:f>
        <x:v>750</x:v>
      </x:c>
      <x:c r="B27" s="23" t="str">
        <x:f>'Plan kont'!B27</x:f>
        <x:v>Przychody finansowe</x:v>
      </x:c>
      <x:c r="C27" s="44" t="n">
        <x:f>SUMIF('Dziennik'!$E$4:$E$503,A27,'Dziennik'!$G$4:$G$503)</x:f>
        <x:v>0</x:v>
      </x:c>
      <x:c r="D27" s="44" t="n">
        <x:f>SUMIF('Dziennik'!$E$4:$E$503,A27,'Dziennik'!$H$4:$H$503)</x:f>
        <x:v>0</x:v>
      </x:c>
      <x:c r="E27" s="44" t="n">
        <x:f>MAX(C27-D27,0)</x:f>
        <x:v>0</x:v>
      </x:c>
      <x:c r="F27" s="44" t="n">
        <x:f>MAX(D27-C27,0)</x:f>
        <x:v>0</x:v>
      </x:c>
      <x:c r="G27" s="44" t="n">
        <x:f>C27-D27-(E27-F27)</x:f>
        <x:v>0</x:v>
      </x:c>
      <x:c r="H27" s="23" t="str">
        <x:f>IF(ABS(G27)&lt;0.01,"OK","BŁĄD")</x:f>
        <x:v>OK</x:v>
      </x:c>
    </x:row>
    <x:row r="28">
      <x:c r="A28" s="23" t="str">
        <x:f>'Plan kont'!A28</x:f>
        <x:v>751</x:v>
      </x:c>
      <x:c r="B28" s="23" t="str">
        <x:f>'Plan kont'!B28</x:f>
        <x:v>Koszty finansowe</x:v>
      </x:c>
      <x:c r="C28" s="44" t="n">
        <x:f>SUMIF('Dziennik'!$E$4:$E$503,A28,'Dziennik'!$G$4:$G$503)</x:f>
        <x:v>0</x:v>
      </x:c>
      <x:c r="D28" s="44" t="n">
        <x:f>SUMIF('Dziennik'!$E$4:$E$503,A28,'Dziennik'!$H$4:$H$503)</x:f>
        <x:v>0</x:v>
      </x:c>
      <x:c r="E28" s="44" t="n">
        <x:f>MAX(C28-D28,0)</x:f>
        <x:v>0</x:v>
      </x:c>
      <x:c r="F28" s="44" t="n">
        <x:f>MAX(D28-C28,0)</x:f>
        <x:v>0</x:v>
      </x:c>
      <x:c r="G28" s="44" t="n">
        <x:f>C28-D28-(E28-F28)</x:f>
        <x:v>0</x:v>
      </x:c>
      <x:c r="H28" s="23" t="str">
        <x:f>IF(ABS(G28)&lt;0.01,"OK","BŁĄD")</x:f>
        <x:v>OK</x:v>
      </x:c>
    </x:row>
    <x:row r="29">
      <x:c r="A29" s="23" t="str">
        <x:f>'Plan kont'!A29</x:f>
        <x:v>760</x:v>
      </x:c>
      <x:c r="B29" s="23" t="str">
        <x:f>'Plan kont'!B29</x:f>
        <x:v>Pozostałe przychody operacyjne</x:v>
      </x:c>
      <x:c r="C29" s="44" t="n">
        <x:f>SUMIF('Dziennik'!$E$4:$E$503,A29,'Dziennik'!$G$4:$G$503)</x:f>
        <x:v>0</x:v>
      </x:c>
      <x:c r="D29" s="44" t="n">
        <x:f>SUMIF('Dziennik'!$E$4:$E$503,A29,'Dziennik'!$H$4:$H$503)</x:f>
        <x:v>0</x:v>
      </x:c>
      <x:c r="E29" s="44" t="n">
        <x:f>MAX(C29-D29,0)</x:f>
        <x:v>0</x:v>
      </x:c>
      <x:c r="F29" s="44" t="n">
        <x:f>MAX(D29-C29,0)</x:f>
        <x:v>0</x:v>
      </x:c>
      <x:c r="G29" s="44" t="n">
        <x:f>C29-D29-(E29-F29)</x:f>
        <x:v>0</x:v>
      </x:c>
      <x:c r="H29" s="23" t="str">
        <x:f>IF(ABS(G29)&lt;0.01,"OK","BŁĄD")</x:f>
        <x:v>OK</x:v>
      </x:c>
    </x:row>
    <x:row r="30">
      <x:c r="A30" s="23" t="str">
        <x:f>'Plan kont'!A30</x:f>
        <x:v>761</x:v>
      </x:c>
      <x:c r="B30" s="23" t="str">
        <x:f>'Plan kont'!B30</x:f>
        <x:v>Pozostałe koszty operacyjne</x:v>
      </x:c>
      <x:c r="C30" s="44" t="n">
        <x:f>SUMIF('Dziennik'!$E$4:$E$503,A30,'Dziennik'!$G$4:$G$503)</x:f>
        <x:v>0</x:v>
      </x:c>
      <x:c r="D30" s="44" t="n">
        <x:f>SUMIF('Dziennik'!$E$4:$E$503,A30,'Dziennik'!$H$4:$H$503)</x:f>
        <x:v>0</x:v>
      </x:c>
      <x:c r="E30" s="44" t="n">
        <x:f>MAX(C30-D30,0)</x:f>
        <x:v>0</x:v>
      </x:c>
      <x:c r="F30" s="44" t="n">
        <x:f>MAX(D30-C30,0)</x:f>
        <x:v>0</x:v>
      </x:c>
      <x:c r="G30" s="44" t="n">
        <x:f>C30-D30-(E30-F30)</x:f>
        <x:v>0</x:v>
      </x:c>
      <x:c r="H30" s="23" t="str">
        <x:f>IF(ABS(G30)&lt;0.01,"OK","BŁĄD")</x:f>
        <x:v>OK</x:v>
      </x:c>
    </x:row>
    <x:row r="31">
      <x:c r="A31" t="str">
        <x:f>'Plan kont'!A31</x:f>
        <x:v>800</x:v>
      </x:c>
      <x:c r="B31" t="str">
        <x:f>'Plan kont'!B31</x:f>
        <x:v>Kapitał podstawowy</x:v>
      </x:c>
      <x:c r="C31" s="45" t="n">
        <x:f>SUMIF('Dziennik'!$E$4:$E$503,A31,'Dziennik'!$G$4:$G$503)</x:f>
        <x:v>0</x:v>
      </x:c>
      <x:c r="D31" s="45" t="n">
        <x:f>SUMIF('Dziennik'!$E$4:$E$503,A31,'Dziennik'!$H$4:$H$503)</x:f>
        <x:v>0</x:v>
      </x:c>
      <x:c r="E31" s="45" t="n">
        <x:f>MAX(C31-D31,0)</x:f>
        <x:v>0</x:v>
      </x:c>
      <x:c r="F31" s="45" t="n">
        <x:f>MAX(D31-C31,0)</x:f>
        <x:v>0</x:v>
      </x:c>
      <x:c r="G31" s="45" t="n">
        <x:f>C31-D31-(E31-F31)</x:f>
        <x:v>0</x:v>
      </x:c>
      <x:c r="H31" t="str">
        <x:f>IF(ABS(G31)&lt;0.01,"OK","BŁĄD")</x:f>
        <x:v>OK</x:v>
      </x:c>
    </x:row>
    <x:row r="32">
      <x:c r="A32" t="str">
        <x:f>'Plan kont'!A32</x:f>
        <x:v>820</x:v>
      </x:c>
      <x:c r="B32" t="str">
        <x:f>'Plan kont'!B32</x:f>
        <x:v>Kapitał zapasowy</x:v>
      </x:c>
      <x:c r="C32" s="45" t="n">
        <x:f>SUMIF('Dziennik'!$E$4:$E$503,A32,'Dziennik'!$G$4:$G$503)</x:f>
        <x:v>0</x:v>
      </x:c>
      <x:c r="D32" s="45" t="n">
        <x:f>SUMIF('Dziennik'!$E$4:$E$503,A32,'Dziennik'!$H$4:$H$503)</x:f>
        <x:v>0</x:v>
      </x:c>
      <x:c r="E32" s="45" t="n">
        <x:f>MAX(C32-D32,0)</x:f>
        <x:v>0</x:v>
      </x:c>
      <x:c r="F32" s="45" t="n">
        <x:f>MAX(D32-C32,0)</x:f>
        <x:v>0</x:v>
      </x:c>
      <x:c r="G32" s="45" t="n">
        <x:f>C32-D32-(E32-F32)</x:f>
        <x:v>0</x:v>
      </x:c>
      <x:c r="H32" t="str">
        <x:f>IF(ABS(G32)&lt;0.01,"OK","BŁĄD")</x:f>
        <x:v>OK</x:v>
      </x:c>
    </x:row>
    <x:row r="33">
      <x:c r="A33" t="str">
        <x:f>'Plan kont'!A33</x:f>
        <x:v>840</x:v>
      </x:c>
      <x:c r="B33" t="str">
        <x:f>'Plan kont'!B33</x:f>
        <x:v>Rezerwy</x:v>
      </x:c>
      <x:c r="C33" s="45" t="n">
        <x:f>SUMIF('Dziennik'!$E$4:$E$503,A33,'Dziennik'!$G$4:$G$503)</x:f>
        <x:v>0</x:v>
      </x:c>
      <x:c r="D33" s="45" t="n">
        <x:f>SUMIF('Dziennik'!$E$4:$E$503,A33,'Dziennik'!$H$4:$H$503)</x:f>
        <x:v>0</x:v>
      </x:c>
      <x:c r="E33" s="45" t="n">
        <x:f>MAX(C33-D33,0)</x:f>
        <x:v>0</x:v>
      </x:c>
      <x:c r="F33" s="45" t="n">
        <x:f>MAX(D33-C33,0)</x:f>
        <x:v>0</x:v>
      </x:c>
      <x:c r="G33" s="45" t="n">
        <x:f>C33-D33-(E33-F33)</x:f>
        <x:v>0</x:v>
      </x:c>
      <x:c r="H33" t="str">
        <x:f>IF(ABS(G33)&lt;0.01,"OK","BŁĄD")</x:f>
        <x:v>OK</x:v>
      </x:c>
    </x:row>
    <x:row r="34">
      <x:c r="A34" t="str">
        <x:f>'Plan kont'!A34</x:f>
        <x:v>860</x:v>
      </x:c>
      <x:c r="B34" t="str">
        <x:f>'Plan kont'!B34</x:f>
        <x:v>Wynik finansowy</x:v>
      </x:c>
      <x:c r="C34" s="45" t="n">
        <x:f>SUMIF('Dziennik'!$E$4:$E$503,A34,'Dziennik'!$G$4:$G$503)</x:f>
        <x:v>0</x:v>
      </x:c>
      <x:c r="D34" s="45" t="n">
        <x:f>SUMIF('Dziennik'!$E$4:$E$503,A34,'Dziennik'!$H$4:$H$503)</x:f>
        <x:v>0</x:v>
      </x:c>
      <x:c r="E34" s="45" t="n">
        <x:f>MAX(C34-D34,0)</x:f>
        <x:v>0</x:v>
      </x:c>
      <x:c r="F34" s="45" t="n">
        <x:f>MAX(D34-C34,0)</x:f>
        <x:v>0</x:v>
      </x:c>
      <x:c r="G34" s="45" t="n">
        <x:f>C34-D34-(E34-F34)</x:f>
        <x:v>0</x:v>
      </x:c>
      <x:c r="H34" t="str">
        <x:f>IF(ABS(G34)&lt;0.01,"OK","BŁĄD")</x:f>
        <x:v>OK</x:v>
      </x:c>
    </x:row>
    <x:row r="35">
      <x:c r="A35" t="str">
        <x:f>'Plan kont'!A35</x:f>
        <x:v>870</x:v>
      </x:c>
      <x:c r="B35" t="str">
        <x:f>'Plan kont'!B35</x:f>
        <x:v>Podatek dochodowy</x:v>
      </x:c>
      <x:c r="C35" s="45" t="n">
        <x:f>SUMIF('Dziennik'!$E$4:$E$503,A35,'Dziennik'!$G$4:$G$503)</x:f>
        <x:v>0</x:v>
      </x:c>
      <x:c r="D35" s="45" t="n">
        <x:f>SUMIF('Dziennik'!$E$4:$E$503,A35,'Dziennik'!$H$4:$H$503)</x:f>
        <x:v>0</x:v>
      </x:c>
      <x:c r="E35" s="45" t="n">
        <x:f>MAX(C35-D35,0)</x:f>
        <x:v>0</x:v>
      </x:c>
      <x:c r="F35" s="45" t="n">
        <x:f>MAX(D35-C35,0)</x:f>
        <x:v>0</x:v>
      </x:c>
      <x:c r="G35" s="45" t="n">
        <x:f>C35-D35-(E35-F35)</x:f>
        <x:v>0</x:v>
      </x:c>
      <x:c r="H35" t="str">
        <x:f>IF(ABS(G35)&lt;0.01,"OK","BŁĄD")</x:f>
        <x:v>OK</x:v>
      </x:c>
    </x:row>
    <x:row r="36">
      <x:c r="A36" s="43" t="str">
        <x:v>RAZEM</x:v>
      </x:c>
      <x:c r="B36" s="43"/>
      <x:c r="C36" s="46" t="n">
        <x:f>SUM(C4:C35)</x:f>
        <x:v>0</x:v>
      </x:c>
      <x:c r="D36" s="46" t="n">
        <x:f>SUM(D4:D35)</x:f>
        <x:v>0</x:v>
      </x:c>
      <x:c r="E36" s="46" t="n">
        <x:f>SUM(E4:E35)</x:f>
        <x:v>0</x:v>
      </x:c>
      <x:c r="F36" s="46" t="n">
        <x:f>SUM(F4:F35)</x:f>
        <x:v>0</x:v>
      </x:c>
      <x:c r="G36" s="46" t="n">
        <x:f>SUM(G4:G35)</x:f>
        <x:v>0</x:v>
      </x:c>
      <x:c r="H36" s="43" t="str">
        <x:f>IF(AND(ABS(C36-D36)&lt;0.01,ABS(E36-F36)&lt;0.01),"BILANSUJE SIĘ","NIEZGODNOŚĆ")</x:f>
        <x:v>BILANSUJE SIĘ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C9A22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6" hidden="0" customWidth="1"/>
    <x:col min="3" max="3" width="26" hidden="0" customWidth="1"/>
    <x:col min="4" max="4" width="16" hidden="0" customWidth="1"/>
    <x:col min="5" max="5" width="35" hidden="0" customWidth="1"/>
    <x:col min="6" max="6" width="4" hidden="0" customWidth="1"/>
  </x:cols>
  <x:sheetData>
    <x:row r="1" ht="30" customHeight="1">
      <x:c r="A1" s="26" t="str">
        <x:v>RACHUNEK ZYSKÓW I STRAT — WIDOK ROBOCZY</x:v>
      </x:c>
      <x:c r="B1" s="26"/>
      <x:c r="C1" s="26"/>
      <x:c r="D1" s="26"/>
      <x:c r="E1" s="26"/>
      <x:c r="F1" s="26"/>
    </x:row>
    <x:row r="2">
      <x:c r="A2" s="23"/>
      <x:c r="B2" s="23"/>
      <x:c r="C2" s="23"/>
      <x:c r="D2" s="23"/>
      <x:c r="E2" s="23"/>
      <x:c r="F2" s="23"/>
    </x:row>
    <x:row r="3" ht="32" customHeight="1">
      <x:c r="A3" s="31" t="str">
        <x:v>Pozycja</x:v>
      </x:c>
      <x:c r="B3" s="31" t="str">
        <x:v>Obroty bieżącego miesiąca</x:v>
      </x:c>
      <x:c r="C3" s="31" t="str">
        <x:v>Obroty od początku roku</x:v>
      </x:c>
      <x:c r="D3" s="31" t="str">
        <x:v>Kontrola</x:v>
      </x:c>
      <x:c r="E3" s="31" t="str">
        <x:v>Uwagi / mapowanie</x:v>
      </x:c>
      <x:c r="F3" s="31" t="str"/>
    </x:row>
    <x:row r="4">
      <x:c r="A4" s="23" t="str">
        <x:v>Przychody netto ze sprzedaży</x:v>
      </x:c>
      <x:c r="B4" s="44" t="n">
        <x:f>SUMIFS('Dziennik'!$H$4:$H$503,'Dziennik'!$E$4:$E$503,700,'Dziennik'!$A$4:$A$503,"&gt;="&amp;Dashboard!$A$4,'Dziennik'!$A$4:$A$503,"&lt;="&amp;Dashboard!$B$4)+SUMIFS('Dziennik'!$H$4:$H$503,'Dziennik'!$E$4:$E$503,701,'Dziennik'!$A$4:$A$503,"&gt;="&amp;Dashboard!$A$4,'Dziennik'!$A$4:$A$503,"&lt;="&amp;Dashboard!$B$4)+SUMIFS('Dziennik'!$H$4:$H$503,'Dziennik'!$E$4:$E$503,730,'Dziennik'!$A$4:$A$503,"&gt;="&amp;Dashboard!$A$4,'Dziennik'!$A$4:$A$503,"&lt;="&amp;Dashboard!$B$4)</x:f>
        <x:v>0</x:v>
      </x:c>
      <x:c r="C4" s="44" t="n">
        <x:f>SUMIFS('Dziennik'!$H$4:$H$503,'Dziennik'!$E$4:$E$503,700,'Dziennik'!$A$4:$A$503,"&gt;="&amp;Ustawienia!$B$7,'Dziennik'!$A$4:$A$503,"&lt;="&amp;Ustawienia!$B$8)+SUMIFS('Dziennik'!$H$4:$H$503,'Dziennik'!$E$4:$E$503,701,'Dziennik'!$A$4:$A$503,"&gt;="&amp;Ustawienia!$B$7,'Dziennik'!$A$4:$A$503,"&lt;="&amp;Ustawienia!$B$8)+SUMIFS('Dziennik'!$H$4:$H$503,'Dziennik'!$E$4:$E$503,730,'Dziennik'!$A$4:$A$503,"&gt;="&amp;Ustawienia!$B$7,'Dziennik'!$A$4:$A$503,"&lt;="&amp;Ustawienia!$B$8)</x:f>
        <x:v>0</x:v>
      </x:c>
      <x:c r="D4" s="23" t="str">
        <x:f>IF(B4&gt;=0,"OK","SPRAWDŹ")</x:f>
        <x:v>OK</x:v>
      </x:c>
      <x:c r="E4" s="55" t="str">
        <x:v>Konta: 700, 701, 730</x:v>
      </x:c>
      <x:c r="F4" s="23"/>
    </x:row>
    <x:row r="5">
      <x:c r="A5" s="23" t="str">
        <x:v>Pozostałe przychody operacyjne</x:v>
      </x:c>
      <x:c r="B5" s="44" t="n">
        <x:f>SUMIFS('Dziennik'!$H$4:$H$503,'Dziennik'!$E$4:$E$503,760,'Dziennik'!$A$4:$A$503,"&gt;="&amp;Dashboard!$A$4,'Dziennik'!$A$4:$A$503,"&lt;="&amp;Dashboard!$B$4)</x:f>
        <x:v>0</x:v>
      </x:c>
      <x:c r="C5" s="44" t="n">
        <x:f>SUMIFS('Dziennik'!$H$4:$H$503,'Dziennik'!$E$4:$E$503,760,'Dziennik'!$A$4:$A$503,"&gt;="&amp;Ustawienia!$B$7,'Dziennik'!$A$4:$A$503,"&lt;="&amp;Ustawienia!$B$8)</x:f>
        <x:v>0</x:v>
      </x:c>
      <x:c r="D5" s="23" t="str">
        <x:f>IF(B5&gt;=0,"OK","SPRAWDŹ")</x:f>
        <x:v>OK</x:v>
      </x:c>
      <x:c r="E5" s="55" t="str">
        <x:v>Konta: 760</x:v>
      </x:c>
      <x:c r="F5" s="23"/>
    </x:row>
    <x:row r="6">
      <x:c r="A6" s="23" t="str">
        <x:v>Koszty działalności operacyjnej</x:v>
      </x:c>
      <x:c r="B6" s="44" t="n">
        <x:f>SUMIFS('Dziennik'!$G$4:$G$503,'Dziennik'!$E$4:$E$503,400,'Dziennik'!$A$4:$A$503,"&gt;="&amp;Dashboard!$A$4,'Dziennik'!$A$4:$A$503,"&lt;="&amp;Dashboard!$B$4)+SUMIFS('Dziennik'!$G$4:$G$503,'Dziennik'!$E$4:$E$503,401,'Dziennik'!$A$4:$A$503,"&gt;="&amp;Dashboard!$A$4,'Dziennik'!$A$4:$A$503,"&lt;="&amp;Dashboard!$B$4)+SUMIFS('Dziennik'!$G$4:$G$503,'Dziennik'!$E$4:$E$503,402,'Dziennik'!$A$4:$A$503,"&gt;="&amp;Dashboard!$A$4,'Dziennik'!$A$4:$A$503,"&lt;="&amp;Dashboard!$B$4)+SUMIFS('Dziennik'!$G$4:$G$503,'Dziennik'!$E$4:$E$503,403,'Dziennik'!$A$4:$A$503,"&gt;="&amp;Dashboard!$A$4,'Dziennik'!$A$4:$A$503,"&lt;="&amp;Dashboard!$B$4)+SUMIFS('Dziennik'!$G$4:$G$503,'Dziennik'!$E$4:$E$503,404,'Dziennik'!$A$4:$A$503,"&gt;="&amp;Dashboard!$A$4,'Dziennik'!$A$4:$A$503,"&lt;="&amp;Dashboard!$B$4)+SUMIFS('Dziennik'!$G$4:$G$503,'Dziennik'!$E$4:$E$503,405,'Dziennik'!$A$4:$A$503,"&gt;="&amp;Dashboard!$A$4,'Dziennik'!$A$4:$A$503,"&lt;="&amp;Dashboard!$B$4)+SUMIFS('Dziennik'!$G$4:$G$503,'Dziennik'!$E$4:$E$503,409,'Dziennik'!$A$4:$A$503,"&gt;="&amp;Dashboard!$A$4,'Dziennik'!$A$4:$A$503,"&lt;="&amp;Dashboard!$B$4)</x:f>
        <x:v>0</x:v>
      </x:c>
      <x:c r="C6" s="44" t="n">
        <x:f>SUMIFS('Dziennik'!$G$4:$G$503,'Dziennik'!$E$4:$E$503,400,'Dziennik'!$A$4:$A$503,"&gt;="&amp;Ustawienia!$B$7,'Dziennik'!$A$4:$A$503,"&lt;="&amp;Ustawienia!$B$8)+SUMIFS('Dziennik'!$G$4:$G$503,'Dziennik'!$E$4:$E$503,401,'Dziennik'!$A$4:$A$503,"&gt;="&amp;Ustawienia!$B$7,'Dziennik'!$A$4:$A$503,"&lt;="&amp;Ustawienia!$B$8)+SUMIFS('Dziennik'!$G$4:$G$503,'Dziennik'!$E$4:$E$503,402,'Dziennik'!$A$4:$A$503,"&gt;="&amp;Ustawienia!$B$7,'Dziennik'!$A$4:$A$503,"&lt;="&amp;Ustawienia!$B$8)+SUMIFS('Dziennik'!$G$4:$G$503,'Dziennik'!$E$4:$E$503,403,'Dziennik'!$A$4:$A$503,"&gt;="&amp;Ustawienia!$B$7,'Dziennik'!$A$4:$A$503,"&lt;="&amp;Ustawienia!$B$8)+SUMIFS('Dziennik'!$G$4:$G$503,'Dziennik'!$E$4:$E$503,404,'Dziennik'!$A$4:$A$503,"&gt;="&amp;Ustawienia!$B$7,'Dziennik'!$A$4:$A$503,"&lt;="&amp;Ustawienia!$B$8)+SUMIFS('Dziennik'!$G$4:$G$503,'Dziennik'!$E$4:$E$503,405,'Dziennik'!$A$4:$A$503,"&gt;="&amp;Ustawienia!$B$7,'Dziennik'!$A$4:$A$503,"&lt;="&amp;Ustawienia!$B$8)+SUMIFS('Dziennik'!$G$4:$G$503,'Dziennik'!$E$4:$E$503,409,'Dziennik'!$A$4:$A$503,"&gt;="&amp;Ustawienia!$B$7,'Dziennik'!$A$4:$A$503,"&lt;="&amp;Ustawienia!$B$8)</x:f>
        <x:v>0</x:v>
      </x:c>
      <x:c r="D6" s="23" t="str">
        <x:f>IF(B6&gt;=0,"OK","SPRAWDŹ")</x:f>
        <x:v>OK</x:v>
      </x:c>
      <x:c r="E6" s="55" t="str">
        <x:v>Konta: 400, 401, 402, 403, 404, 405, 409</x:v>
      </x:c>
      <x:c r="F6" s="23"/>
    </x:row>
    <x:row r="7">
      <x:c r="A7" s="23" t="str">
        <x:v>Pozostałe koszty operacyjne</x:v>
      </x:c>
      <x:c r="B7" s="44" t="n">
        <x:f>SUMIFS('Dziennik'!$G$4:$G$503,'Dziennik'!$E$4:$E$503,761,'Dziennik'!$A$4:$A$503,"&gt;="&amp;Dashboard!$A$4,'Dziennik'!$A$4:$A$503,"&lt;="&amp;Dashboard!$B$4)</x:f>
        <x:v>0</x:v>
      </x:c>
      <x:c r="C7" s="44" t="n">
        <x:f>SUMIFS('Dziennik'!$G$4:$G$503,'Dziennik'!$E$4:$E$503,761,'Dziennik'!$A$4:$A$503,"&gt;="&amp;Ustawienia!$B$7,'Dziennik'!$A$4:$A$503,"&lt;="&amp;Ustawienia!$B$8)</x:f>
        <x:v>0</x:v>
      </x:c>
      <x:c r="D7" s="23" t="str">
        <x:f>IF(B7&gt;=0,"OK","SPRAWDŹ")</x:f>
        <x:v>OK</x:v>
      </x:c>
      <x:c r="E7" s="55" t="str">
        <x:v>Konta: 761</x:v>
      </x:c>
      <x:c r="F7" s="23"/>
    </x:row>
    <x:row r="8">
      <x:c r="A8" s="23" t="str">
        <x:v>Przychody finansowe</x:v>
      </x:c>
      <x:c r="B8" s="44" t="n">
        <x:f>SUMIFS('Dziennik'!$H$4:$H$503,'Dziennik'!$E$4:$E$503,750,'Dziennik'!$A$4:$A$503,"&gt;="&amp;Dashboard!$A$4,'Dziennik'!$A$4:$A$503,"&lt;="&amp;Dashboard!$B$4)</x:f>
        <x:v>0</x:v>
      </x:c>
      <x:c r="C8" s="44" t="n">
        <x:f>SUMIFS('Dziennik'!$H$4:$H$503,'Dziennik'!$E$4:$E$503,750,'Dziennik'!$A$4:$A$503,"&gt;="&amp;Ustawienia!$B$7,'Dziennik'!$A$4:$A$503,"&lt;="&amp;Ustawienia!$B$8)</x:f>
        <x:v>0</x:v>
      </x:c>
      <x:c r="D8" s="23" t="str">
        <x:f>IF(B8&gt;=0,"OK","SPRAWDŹ")</x:f>
        <x:v>OK</x:v>
      </x:c>
      <x:c r="E8" s="55" t="str">
        <x:v>Konta: 750</x:v>
      </x:c>
      <x:c r="F8" s="23"/>
    </x:row>
    <x:row r="9">
      <x:c r="A9" s="23" t="str">
        <x:v>Koszty finansowe</x:v>
      </x:c>
      <x:c r="B9" s="44" t="n">
        <x:f>SUMIFS('Dziennik'!$G$4:$G$503,'Dziennik'!$E$4:$E$503,751,'Dziennik'!$A$4:$A$503,"&gt;="&amp;Dashboard!$A$4,'Dziennik'!$A$4:$A$503,"&lt;="&amp;Dashboard!$B$4)</x:f>
        <x:v>0</x:v>
      </x:c>
      <x:c r="C9" s="44" t="n">
        <x:f>SUMIFS('Dziennik'!$G$4:$G$503,'Dziennik'!$E$4:$E$503,751,'Dziennik'!$A$4:$A$503,"&gt;="&amp;Ustawienia!$B$7,'Dziennik'!$A$4:$A$503,"&lt;="&amp;Ustawienia!$B$8)</x:f>
        <x:v>0</x:v>
      </x:c>
      <x:c r="D9" s="23" t="str">
        <x:f>IF(B9&gt;=0,"OK","SPRAWDŹ")</x:f>
        <x:v>OK</x:v>
      </x:c>
      <x:c r="E9" s="55" t="str">
        <x:v>Konta: 751</x:v>
      </x:c>
      <x:c r="F9" s="23"/>
    </x:row>
    <x:row r="10">
      <x:c r="A10" s="23" t="str">
        <x:v>Podatek dochodowy</x:v>
      </x:c>
      <x:c r="B10" s="44" t="n">
        <x:f>SUMIFS('Dziennik'!$G$4:$G$503,'Dziennik'!$E$4:$E$503,870,'Dziennik'!$A$4:$A$503,"&gt;="&amp;Dashboard!$A$4,'Dziennik'!$A$4:$A$503,"&lt;="&amp;Dashboard!$B$4)</x:f>
        <x:v>0</x:v>
      </x:c>
      <x:c r="C10" s="44" t="n">
        <x:f>SUMIFS('Dziennik'!$G$4:$G$503,'Dziennik'!$E$4:$E$503,870,'Dziennik'!$A$4:$A$503,"&gt;="&amp;Ustawienia!$B$7,'Dziennik'!$A$4:$A$503,"&lt;="&amp;Ustawienia!$B$8)</x:f>
        <x:v>0</x:v>
      </x:c>
      <x:c r="D10" s="23" t="str">
        <x:f>IF(B10&gt;=0,"OK","SPRAWDŹ")</x:f>
        <x:v>OK</x:v>
      </x:c>
      <x:c r="E10" s="55" t="str">
        <x:v>Konta: 870</x:v>
      </x:c>
      <x:c r="F10" s="23"/>
    </x:row>
    <x:row r="11">
      <x:c r="A11" s="49" t="str">
        <x:v>Wynik netto przed podatkiem / wynik wstępny</x:v>
      </x:c>
      <x:c r="B11" s="56" t="n">
        <x:f>B4+B5-B6-B7+B8-B9</x:f>
        <x:v>0</x:v>
      </x:c>
      <x:c r="C11" s="57" t="n">
        <x:f>C4+C5-C6-C7+C8-C9</x:f>
        <x:v>0</x:v>
      </x:c>
      <x:c r="D11" s="23"/>
      <x:c r="E11" s="23"/>
      <x:c r="F11" s="23"/>
    </x:row>
    <x:row r="12">
      <x:c r="A12" s="52" t="str">
        <x:v>Wynik po podatku</x:v>
      </x:c>
      <x:c r="B12" s="58" t="n">
        <x:f>B11-B10</x:f>
        <x:v>0</x:v>
      </x:c>
      <x:c r="C12" s="59" t="n">
        <x:f>C11-C10</x:f>
        <x:v>0</x:v>
      </x:c>
      <x:c r="D12" s="23"/>
      <x:c r="E12" s="23"/>
      <x:c r="F12" s="23"/>
    </x:row>
    <x:row r="13">
      <x:c r="A13" s="23"/>
      <x:c r="B13" s="23"/>
      <x:c r="C13" s="23"/>
      <x:c r="D13" s="23"/>
      <x:c r="E13" s="23"/>
      <x:c r="F13" s="23"/>
    </x:row>
    <x:row r="14">
      <x:c r="A14" s="23"/>
      <x:c r="B14" s="23"/>
      <x:c r="C14" s="23"/>
      <x:c r="D14" s="23"/>
      <x:c r="E14" s="23"/>
      <x:c r="F14" s="23"/>
    </x:row>
    <x:row r="15">
      <x:c r="A15" s="23"/>
      <x:c r="B15" s="23"/>
      <x:c r="C15" s="23"/>
      <x:c r="D15" s="23"/>
      <x:c r="E15" s="23"/>
      <x:c r="F15" s="23"/>
    </x:row>
    <x:row r="16">
      <x:c r="A16" s="23"/>
      <x:c r="B16" s="23"/>
      <x:c r="C16" s="23"/>
      <x:c r="D16" s="23"/>
      <x:c r="E16" s="23"/>
      <x:c r="F16" s="23"/>
    </x:row>
    <x:row r="17">
      <x:c r="A17" s="23"/>
      <x:c r="B17" s="23"/>
      <x:c r="C17" s="23"/>
      <x:c r="D17" s="23"/>
      <x:c r="E17" s="23"/>
      <x:c r="F17" s="23"/>
    </x:row>
    <x:row r="18">
      <x:c r="A18" s="23"/>
      <x:c r="B18" s="23"/>
      <x:c r="C18" s="23"/>
      <x:c r="D18" s="23"/>
      <x:c r="E18" s="23"/>
      <x:c r="F18" s="23"/>
    </x:row>
    <x:row r="19">
      <x:c r="A19" s="23"/>
      <x:c r="B19" s="23"/>
      <x:c r="C19" s="23"/>
      <x:c r="D19" s="23"/>
      <x:c r="E19" s="23"/>
      <x:c r="F19" s="23"/>
    </x:row>
    <x:row r="20">
      <x:c r="A20" s="23"/>
      <x:c r="B20" s="23"/>
      <x:c r="C20" s="23"/>
      <x:c r="D20" s="23"/>
      <x:c r="E20" s="23"/>
      <x:c r="F20" s="23"/>
    </x:row>
    <x:row r="21">
      <x:c r="A21" s="23"/>
      <x:c r="B21" s="23"/>
      <x:c r="C21" s="23"/>
      <x:c r="D21" s="23"/>
      <x:c r="E21" s="23"/>
      <x:c r="F21" s="23"/>
    </x:row>
    <x:row r="22">
      <x:c r="A22" s="23"/>
      <x:c r="B22" s="23"/>
      <x:c r="C22" s="23"/>
      <x:c r="D22" s="23"/>
      <x:c r="E22" s="23"/>
      <x:c r="F22" s="23"/>
    </x:row>
    <x:row r="23">
      <x:c r="A23" s="23"/>
      <x:c r="B23" s="23"/>
      <x:c r="C23" s="23"/>
      <x:c r="D23" s="23"/>
      <x:c r="E23" s="23"/>
      <x:c r="F23" s="23"/>
    </x:row>
    <x:row r="24">
      <x:c r="A24" s="23"/>
      <x:c r="B24" s="23"/>
      <x:c r="C24" s="23"/>
      <x:c r="D24" s="23"/>
      <x:c r="E24" s="23"/>
      <x:c r="F24" s="23"/>
    </x:row>
    <x:row r="25">
      <x:c r="A25" s="23"/>
      <x:c r="B25" s="23"/>
      <x:c r="C25" s="23"/>
      <x:c r="D25" s="23"/>
      <x:c r="E25" s="23"/>
      <x:c r="F25" s="23"/>
    </x:row>
    <x:row r="26">
      <x:c r="A26" s="23"/>
      <x:c r="B26" s="23"/>
      <x:c r="C26" s="23"/>
      <x:c r="D26" s="23"/>
      <x:c r="E26" s="23"/>
      <x:c r="F26" s="23"/>
    </x:row>
    <x:row r="27">
      <x:c r="A27" s="23"/>
      <x:c r="B27" s="23"/>
      <x:c r="C27" s="23"/>
      <x:c r="D27" s="23"/>
      <x:c r="E27" s="23"/>
      <x:c r="F27" s="23"/>
    </x:row>
    <x:row r="28">
      <x:c r="A28" s="23"/>
      <x:c r="B28" s="23"/>
      <x:c r="C28" s="23"/>
      <x:c r="D28" s="23"/>
      <x:c r="E28" s="23"/>
      <x:c r="F28" s="23"/>
    </x:row>
    <x:row r="29">
      <x:c r="A29" s="23"/>
      <x:c r="B29" s="23"/>
      <x:c r="C29" s="23"/>
      <x:c r="D29" s="23"/>
      <x:c r="E29" s="23"/>
      <x:c r="F29" s="23"/>
    </x:row>
    <x:row r="30">
      <x:c r="A30" s="23"/>
      <x:c r="B30" s="23"/>
      <x:c r="C30" s="23"/>
      <x:c r="D30" s="23"/>
      <x:c r="E30" s="23"/>
      <x:c r="F30" s="23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B7A46A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9" hidden="0" customWidth="1"/>
    <x:col min="3" max="3" width="28" hidden="0" customWidth="1"/>
    <x:col min="4" max="4" width="45" hidden="0" customWidth="1"/>
  </x:cols>
  <x:sheetData>
    <x:row r="1" ht="30" customHeight="1">
      <x:c r="A1" s="26" t="str">
        <x:v>BILANS — WIDOK ROBOCZY, MAPOWANIE PRZYKŁADOWE</x:v>
      </x:c>
      <x:c r="B1" s="26"/>
      <x:c r="C1" s="26"/>
      <x:c r="D1" s="26"/>
    </x:row>
    <x:row r="2">
      <x:c r="A2" s="23"/>
      <x:c r="B2" s="23"/>
      <x:c r="C2" s="23"/>
      <x:c r="D2" s="23"/>
    </x:row>
    <x:row r="3" ht="32" customHeight="1">
      <x:c r="A3" s="31" t="str">
        <x:v>Pozycja</x:v>
      </x:c>
      <x:c r="B3" s="31" t="str">
        <x:v>Saldo PLN</x:v>
      </x:c>
      <x:c r="C3" s="31" t="str">
        <x:v>Konta źródłowe</x:v>
      </x:c>
      <x:c r="D3" s="31" t="str">
        <x:v>Uwaga</x:v>
      </x:c>
    </x:row>
    <x:row r="4">
      <x:c r="A4" s="23" t="str">
        <x:v>Aktywa trwałe netto</x:v>
      </x:c>
      <x:c r="B4" s="44" t="n">
        <x:f>SUMIF('Obroty i salda'!$A$4:$A$35,"010",'Obroty i salda'!$E$4:$E$35)-SUMIF('Obroty i salda'!$A$4:$A$35,"010",'Obroty i salda'!$F$4:$F$35)+SUMIF('Obroty i salda'!$A$4:$A$35,"070",'Obroty i salda'!$E$4:$E$35)-SUMIF('Obroty i salda'!$A$4:$A$35,"070",'Obroty i salda'!$F$4:$F$35)</x:f>
        <x:v>0</x:v>
      </x:c>
      <x:c r="C4" s="23" t="str">
        <x:v>010, 070</x:v>
      </x:c>
      <x:c r="D4" s="23" t="str">
        <x:v>Wartość netto (WN minus MA)</x:v>
      </x:c>
    </x:row>
    <x:row r="5">
      <x:c r="A5" s="23" t="str">
        <x:v>Należności krótkoterminowe</x:v>
      </x:c>
      <x:c r="B5" s="44" t="n">
        <x:f>SUMIF('Obroty i salda'!$A$4:$A$35,"201",'Obroty i salda'!$E$4:$E$35)-SUMIF('Obroty i salda'!$A$4:$A$35,"201",'Obroty i salda'!$F$4:$F$35)</x:f>
        <x:v>0</x:v>
      </x:c>
      <x:c r="C5" s="23" t="str">
        <x:v>201</x:v>
      </x:c>
      <x:c r="D5" s="23" t="str">
        <x:v>Saldo WN</x:v>
      </x:c>
    </x:row>
    <x:row r="6">
      <x:c r="A6" s="23" t="str">
        <x:v>Zapasy i rozliczenia</x:v>
      </x:c>
      <x:c r="B6" s="44" t="n">
        <x:f>SUMIF('Obroty i salda'!$A$4:$A$35,"300",'Obroty i salda'!$E$4:$E$35)-SUMIF('Obroty i salda'!$A$4:$A$35,"300",'Obroty i salda'!$F$4:$F$35)+SUMIF('Obroty i salda'!$A$4:$A$35,"310",'Obroty i salda'!$E$4:$E$35)-SUMIF('Obroty i salda'!$A$4:$A$35,"310",'Obroty i salda'!$F$4:$F$35)+SUMIF('Obroty i salda'!$A$4:$A$35,"490",'Obroty i salda'!$E$4:$E$35)-SUMIF('Obroty i salda'!$A$4:$A$35,"490",'Obroty i salda'!$F$4:$F$35)</x:f>
        <x:v>0</x:v>
      </x:c>
      <x:c r="C6" s="23" t="str">
        <x:v>300, 310, 490</x:v>
      </x:c>
      <x:c r="D6" s="23" t="str">
        <x:v>Saldo WN; przegląd 490 wymagany</x:v>
      </x:c>
    </x:row>
    <x:row r="7">
      <x:c r="A7" s="23" t="str">
        <x:v>Środki pieniężne</x:v>
      </x:c>
      <x:c r="B7" s="44" t="n">
        <x:f>SUMIF('Obroty i salda'!$A$4:$A$35,"100",'Obroty i salda'!$E$4:$E$35)-SUMIF('Obroty i salda'!$A$4:$A$35,"100",'Obroty i salda'!$F$4:$F$35)+SUMIF('Obroty i salda'!$A$4:$A$35,"130",'Obroty i salda'!$E$4:$E$35)-SUMIF('Obroty i salda'!$A$4:$A$35,"130",'Obroty i salda'!$F$4:$F$35)</x:f>
        <x:v>0</x:v>
      </x:c>
      <x:c r="C7" s="23" t="str">
        <x:v>100, 130</x:v>
      </x:c>
      <x:c r="D7" s="23" t="str">
        <x:v>Saldo WN</x:v>
      </x:c>
    </x:row>
    <x:row r="8">
      <x:c r="A8" s="23" t="str">
        <x:v>Pozostałe rozrachunki</x:v>
      </x:c>
      <x:c r="B8" s="44" t="n">
        <x:f>SUMIF('Obroty i salda'!$A$4:$A$35,"240",'Obroty i salda'!$E$4:$E$35)-SUMIF('Obroty i salda'!$A$4:$A$35,"240",'Obroty i salda'!$F$4:$F$35)</x:f>
        <x:v>0</x:v>
      </x:c>
      <x:c r="C8" s="23" t="str">
        <x:v>240</x:v>
      </x:c>
      <x:c r="D8" s="23" t="str">
        <x:v>Saldo WN</x:v>
      </x:c>
    </x:row>
    <x:row r="9">
      <x:c r="A9" s="23" t="str">
        <x:v>Kapitał własny</x:v>
      </x:c>
      <x:c r="B9" s="44" t="n">
        <x:f>SUMIF('Obroty i salda'!$A$4:$A$35,"800",'Obroty i salda'!$F$4:$F$35)+SUMIF('Obroty i salda'!$A$4:$A$35,"820",'Obroty i salda'!$F$4:$F$35)+SUMIF('Obroty i salda'!$A$4:$A$35,"860",'Obroty i salda'!$F$4:$F$35)+'Rachunek wyników'!C12</x:f>
        <x:v>0</x:v>
      </x:c>
      <x:c r="C9" s="23" t="str">
        <x:v>800, 820, 860</x:v>
      </x:c>
      <x:c r="D9" s="23" t="str">
        <x:v>Saldo MA</x:v>
      </x:c>
    </x:row>
    <x:row r="10">
      <x:c r="A10" s="23" t="str">
        <x:v>Rezerwy</x:v>
      </x:c>
      <x:c r="B10" s="44" t="n">
        <x:f>SUMIF('Obroty i salda'!$A$4:$A$35,"840",'Obroty i salda'!$F$4:$F$35)-SUMIF('Obroty i salda'!$A$4:$A$35,"840",'Obroty i salda'!$E$4:$E$35)</x:f>
        <x:v>0</x:v>
      </x:c>
      <x:c r="C10" s="23" t="str">
        <x:v>840</x:v>
      </x:c>
      <x:c r="D10" s="23" t="str">
        <x:v>Saldo MA</x:v>
      </x:c>
    </x:row>
    <x:row r="11">
      <x:c r="A11" s="23" t="str">
        <x:v>Zobowiązania krótkoterminowe</x:v>
      </x:c>
      <x:c r="B11" s="44" t="n">
        <x:f>SUMIF('Obroty i salda'!$A$4:$A$35,"202",'Obroty i salda'!$F$4:$F$35)-SUMIF('Obroty i salda'!$A$4:$A$35,"202",'Obroty i salda'!$E$4:$E$35)+SUMIF('Obroty i salda'!$A$4:$A$35,"231",'Obroty i salda'!$F$4:$F$35)-SUMIF('Obroty i salda'!$A$4:$A$35,"231",'Obroty i salda'!$E$4:$E$35)</x:f>
        <x:v>0</x:v>
      </x:c>
      <x:c r="C11" s="23" t="str">
        <x:v>202, 231</x:v>
      </x:c>
      <x:c r="D11" s="23" t="str">
        <x:v>Saldo MA</x:v>
      </x:c>
    </x:row>
    <x:row r="12">
      <x:c r="A12" s="23" t="str">
        <x:v>Rozrachunki publicznoprawne</x:v>
      </x:c>
      <x:c r="B12" s="44" t="n">
        <x:f>SUMIF('Obroty i salda'!$A$4:$A$35,"221",'Obroty i salda'!$F$4:$F$35)-SUMIF('Obroty i salda'!$A$4:$A$35,"221",'Obroty i salda'!$E$4:$E$35)+SUMIF('Obroty i salda'!$A$4:$A$35,"222",'Obroty i salda'!$F$4:$F$35)-SUMIF('Obroty i salda'!$A$4:$A$35,"222",'Obroty i salda'!$E$4:$E$35)</x:f>
        <x:v>0</x:v>
      </x:c>
      <x:c r="C12" s="23" t="str">
        <x:v>221, 222</x:v>
      </x:c>
      <x:c r="D12" s="23" t="str">
        <x:v>Netto; kierunek salda wymaga kontroli</x:v>
      </x:c>
    </x:row>
    <x:row r="13">
      <x:c r="A13" s="61" t="str">
        <x:v>Aktywa razem</x:v>
      </x:c>
      <x:c r="B13" s="67" t="n">
        <x:f>SUM(B4:B8)</x:f>
        <x:v>0</x:v>
      </x:c>
      <x:c r="C13" s="23" t="str"/>
      <x:c r="D13" s="23" t="str">
        <x:v>Suma pozycji aktywów</x:v>
      </x:c>
    </x:row>
    <x:row r="14">
      <x:c r="A14" s="63" t="str">
        <x:v>Pasywa razem</x:v>
      </x:c>
      <x:c r="B14" s="68" t="n">
        <x:f>SUM(B9:B12)</x:f>
        <x:v>0</x:v>
      </x:c>
      <x:c r="C14" s="23" t="str"/>
      <x:c r="D14" s="23" t="str">
        <x:v>Suma pozycji pasywów</x:v>
      </x:c>
    </x:row>
    <x:row r="15">
      <x:c r="A15" s="65" t="str">
        <x:v>Kontrola bilansowa</x:v>
      </x:c>
      <x:c r="B15" s="69" t="n">
        <x:f>B13-B14</x:f>
        <x:v>0</x:v>
      </x:c>
      <x:c r="C15" s="23" t="str"/>
      <x:c r="D15" s="23" t="str">
        <x:v>Aktywa minus pasywa</x:v>
      </x:c>
    </x:row>
    <x:row r="16">
      <x:c r="A16" s="23"/>
      <x:c r="B16" s="23"/>
      <x:c r="C16" s="23"/>
      <x:c r="D16" s="23"/>
    </x:row>
    <x:row r="17">
      <x:c r="A17" s="23"/>
      <x:c r="B17" s="23"/>
      <x:c r="C17" s="23"/>
      <x:c r="D17" s="23"/>
    </x:row>
    <x:row r="18">
      <x:c r="A18" s="23"/>
      <x:c r="B18" s="23"/>
      <x:c r="C18" s="23"/>
      <x:c r="D18" s="23"/>
    </x:row>
    <x:row r="19">
      <x:c r="A19" s="23"/>
      <x:c r="B19" s="23"/>
      <x:c r="C19" s="23"/>
      <x:c r="D19" s="23"/>
    </x:row>
    <x:row r="20">
      <x:c r="A20" s="23"/>
      <x:c r="B20" s="23"/>
      <x:c r="C20" s="23"/>
      <x:c r="D20" s="23"/>
    </x:row>
    <x:row r="21">
      <x:c r="A21" s="23"/>
      <x:c r="B21" s="23"/>
      <x:c r="C21" s="23"/>
      <x:c r="D21" s="23"/>
    </x:row>
    <x:row r="22">
      <x:c r="A22" s="23"/>
      <x:c r="B22" s="23"/>
      <x:c r="C22" s="23"/>
      <x:c r="D22" s="23"/>
    </x:row>
    <x:row r="23">
      <x:c r="A23" s="23"/>
      <x:c r="B23" s="23"/>
      <x:c r="C23" s="23"/>
      <x:c r="D23" s="23"/>
    </x:row>
    <x:row r="24">
      <x:c r="A24" s="23"/>
      <x:c r="B24" s="23"/>
      <x:c r="C24" s="23"/>
      <x:c r="D24" s="23"/>
    </x:row>
    <x:row r="25">
      <x:c r="A25" s="23"/>
      <x:c r="B25" s="23"/>
      <x:c r="C25" s="23"/>
      <x:c r="D25" s="23"/>
    </x:row>
    <x:row r="26">
      <x:c r="A26" s="23"/>
      <x:c r="B26" s="23"/>
      <x:c r="C26" s="23"/>
      <x:c r="D26" s="23"/>
    </x:row>
    <x:row r="27">
      <x:c r="A27" s="23"/>
      <x:c r="B27" s="23"/>
      <x:c r="C27" s="23"/>
      <x:c r="D27" s="23"/>
    </x:row>
    <x:row r="28">
      <x:c r="A28" s="23"/>
      <x:c r="B28" s="23"/>
      <x:c r="C28" s="23"/>
      <x:c r="D28" s="23"/>
    </x:row>
    <x:row r="29">
      <x:c r="A29" s="23"/>
      <x:c r="B29" s="23"/>
      <x:c r="C29" s="23"/>
      <x:c r="D29" s="23"/>
    </x:row>
    <x:row r="30">
      <x:c r="A30" s="23"/>
      <x:c r="B30" s="23"/>
      <x:c r="C30" s="23"/>
      <x:c r="D30" s="23"/>
    </x:row>
  </x:sheetData>
  <x:mergeCells>
    <x:mergeCell ref="A1:D1"/>
  </x:mergeCells>
  <x:pageMargins left="0.7" right="0.7" top="0.75" bottom="0.75" header="0.3" footer="0.3"/>
</x:worksheet>
</file>